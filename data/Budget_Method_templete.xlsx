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auhid Hasan\Desktop\idalindvall\data\"/>
    </mc:Choice>
  </mc:AlternateContent>
  <xr:revisionPtr revIDLastSave="0" documentId="13_ncr:1_{DA9575C5-0353-490F-ADB2-6D54C67DFD72}" xr6:coauthVersionLast="47" xr6:coauthVersionMax="47" xr10:uidLastSave="{00000000-0000-0000-0000-000000000000}"/>
  <bookViews>
    <workbookView xWindow="4605" yWindow="2865" windowWidth="12840" windowHeight="11100" firstSheet="3" activeTab="3" xr2:uid="{00000000-000D-0000-FFFF-FFFF00000000}"/>
  </bookViews>
  <sheets>
    <sheet name="Start Here" sheetId="1" r:id="rId1"/>
    <sheet name="Command Center" sheetId="2" r:id="rId2"/>
    <sheet name="Irregular Expense System" sheetId="3" r:id="rId3"/>
    <sheet name="Net Position Snapshot" sheetId="4" r:id="rId4"/>
    <sheet name="Monthly Activ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4" l="1"/>
  <c r="B35" i="4"/>
  <c r="B34" i="4"/>
  <c r="B33" i="4"/>
  <c r="B29" i="4"/>
  <c r="B20" i="4"/>
  <c r="C20" i="4" s="1"/>
  <c r="C12" i="4"/>
  <c r="B47" i="3"/>
  <c r="C39" i="3"/>
  <c r="C38" i="3"/>
  <c r="C37" i="3"/>
  <c r="C34" i="3"/>
  <c r="C33" i="3"/>
  <c r="C32" i="3"/>
  <c r="C29" i="3"/>
  <c r="C28" i="3"/>
  <c r="C27" i="3"/>
  <c r="C24" i="3"/>
  <c r="C23" i="3"/>
  <c r="C22" i="3"/>
  <c r="C19" i="3"/>
  <c r="C18" i="3"/>
  <c r="C17" i="3"/>
  <c r="C16" i="3"/>
  <c r="C13" i="3"/>
  <c r="C12" i="3"/>
  <c r="C11" i="3"/>
  <c r="E24" i="2"/>
  <c r="C24" i="2"/>
  <c r="E22" i="2"/>
  <c r="E21" i="2"/>
  <c r="E20" i="2"/>
  <c r="E19" i="2"/>
  <c r="B14" i="2"/>
  <c r="D22" i="2" s="1"/>
  <c r="B34" i="2" s="1"/>
  <c r="B41" i="4" l="1"/>
  <c r="B42" i="4"/>
  <c r="B45" i="4"/>
  <c r="B43" i="4"/>
  <c r="C41" i="3"/>
  <c r="D20" i="2"/>
  <c r="B32" i="2" s="1"/>
  <c r="B46" i="3"/>
  <c r="B45" i="3"/>
  <c r="B28" i="2" s="1"/>
  <c r="B35" i="2" s="1"/>
  <c r="C29" i="4"/>
  <c r="D21" i="2"/>
  <c r="B33" i="2" s="1"/>
  <c r="B37" i="4"/>
  <c r="D19" i="2"/>
  <c r="C37" i="4"/>
  <c r="B15" i="5" s="1"/>
</calcChain>
</file>

<file path=xl/sharedStrings.xml><?xml version="1.0" encoding="utf-8"?>
<sst xmlns="http://schemas.openxmlformats.org/spreadsheetml/2006/main" count="225" uniqueCount="196">
  <si>
    <t>THE FREEDOM BUDGET METHOD™</t>
  </si>
  <si>
    <t>The Command Center — your financial architecture, installed once.</t>
  </si>
  <si>
    <t>Follow the installation sequence below. This system is designed to move you from active monitoring to financial calm.</t>
  </si>
  <si>
    <t>WHAT THIS SYSTEM DOES THAT NOTHING ELSE DOES</t>
  </si>
  <si>
    <t>1.  Structural Allocation</t>
  </si>
  <si>
    <t>Your income is divided intentionally — not tracked after the fact. Essentials, Wealth Building, Future Buffer, and Guilt-Free Living all have a job before the month begins.</t>
  </si>
  <si>
    <t>2.  Irregular Expense Engineering</t>
  </si>
  <si>
    <t>The system that eliminates financial surprises. Annual costs are broken into monthly provisions automatically. Insurance, holidays, school fees, car maintenance — none of it is a surprise when the structure is running.</t>
  </si>
  <si>
    <t>3.  Net Position Tracking</t>
  </si>
  <si>
    <t>You see your full financial picture in one place — Liquidity Reserve, Wealth Velocity Assets, Structural Liabilities. One number tells you if your system is stable or action is required.</t>
  </si>
  <si>
    <t>4.  Monthly Structural Activation</t>
  </si>
  <si>
    <t>Five minutes, once a month. The system runs itself. You just confirm it’s running.</t>
  </si>
  <si>
    <t>THE INSTALLATION SEQUENCE</t>
  </si>
  <si>
    <t>Step 1:  Define Your Inflow</t>
  </si>
  <si>
    <t>Go to the COMMAND CENTER tab. Enter your Monthly Income in the income section.</t>
  </si>
  <si>
    <t>Step 2:  Set Your Allocation Integrity</t>
  </si>
  <si>
    <t>In the COMMAND CENTER, set your allocation percentages. The goal: Allocation Integrity Check reads [ STRUCTURE ALIGNED ].</t>
  </si>
  <si>
    <t>Step 3:  Engineer Out Volatility</t>
  </si>
  <si>
    <t>Go to the IRREGULAR EXPENSE SYSTEM tab. List your annual expenses and their costs. The system calculates your monthly provision automatically.</t>
  </si>
  <si>
    <t>Step 4:  Audit Your Net Position</t>
  </si>
  <si>
    <t>Go to the NET POSITION SNAPSHOT tab. Enter your current balances. This generates your Financial Calm status and audits your structural health.</t>
  </si>
  <si>
    <t>Step 5:  Activate Monthly</t>
  </si>
  <si>
    <t>Go to the MONTHLY ACTIVATION tab. Run this once a month — 5 minutes. If your Net Position reads [ SYSTEM STABLE ], your only job is to return to your life.</t>
  </si>
  <si>
    <t>“The goal is not to think about money more. The goal is to think about it once, correctly, so you can stop thinking about it forever.”  — Ida Lindvall</t>
  </si>
  <si>
    <t>Structure before scale.  —  The Freedom Budget Method™  —  lilyvall.com</t>
  </si>
  <si>
    <t>Command Center — your structural allocation architecture.</t>
  </si>
  <si>
    <t>Set your percentages. Confirm allocation integrity. Let the system run.</t>
  </si>
  <si>
    <t>MONTHLY INCOME</t>
  </si>
  <si>
    <t>Enter your net monthly income after tax.</t>
  </si>
  <si>
    <t>Primary income (after tax)</t>
  </si>
  <si>
    <t>Secondary income</t>
  </si>
  <si>
    <t>Other income</t>
  </si>
  <si>
    <t>TOTAL MONTHLY INCOME</t>
  </si>
  <si>
    <t>STRUCTURAL ALLOCATION</t>
  </si>
  <si>
    <t>Set your target percentages. Allocated Amount calculates automatically. Adjust until Integrity Check reads [ STRUCTURE ALIGNED ].</t>
  </si>
  <si>
    <t>Allocation</t>
  </si>
  <si>
    <t>Suggested %</t>
  </si>
  <si>
    <t>Your %</t>
  </si>
  <si>
    <t>Allocated Amount</t>
  </si>
  <si>
    <t>Status</t>
  </si>
  <si>
    <t>Essentials</t>
  </si>
  <si>
    <t>60%</t>
  </si>
  <si>
    <t>Wealth Building</t>
  </si>
  <si>
    <t>10%</t>
  </si>
  <si>
    <t>Future Buffer</t>
  </si>
  <si>
    <t>Guilt-Free Living</t>
  </si>
  <si>
    <t>20%</t>
  </si>
  <si>
    <t>Total Allocated %</t>
  </si>
  <si>
    <t>IRREGULAR EXPENSE PROVISION — FROM TAB 3</t>
  </si>
  <si>
    <t>Pulled automatically from the Irregular Expense System.</t>
  </si>
  <si>
    <t>Monthly irregular provision</t>
  </si>
  <si>
    <t>This is already included in your Essentials allocation</t>
  </si>
  <si>
    <t>AUTOMATION REMINDER</t>
  </si>
  <si>
    <t>Set these up once. Then the system runs itself.</t>
  </si>
  <si>
    <t>Wealth Building transfer</t>
  </si>
  <si>
    <t>Automate on salary day</t>
  </si>
  <si>
    <t>Future Buffer transfer</t>
  </si>
  <si>
    <t>Guilt-Free Living transfer</t>
  </si>
  <si>
    <t>Transfer to a separate spending account</t>
  </si>
  <si>
    <t>Irregular provision</t>
  </si>
  <si>
    <t>Automate to a dedicated buffer account</t>
  </si>
  <si>
    <t>Irregular Expense System — engineer out every financial surprise.</t>
  </si>
  <si>
    <t>Enter your annual costs once. Monthly provisions calculate automatically. Surprises become structure.</t>
  </si>
  <si>
    <t>Expense</t>
  </si>
  <si>
    <t>Annual Cost (kr)</t>
  </si>
  <si>
    <t>Monthly Provision</t>
  </si>
  <si>
    <t>Notes</t>
  </si>
  <si>
    <t>Category</t>
  </si>
  <si>
    <t>HOME &amp; PROPERTY</t>
  </si>
  <si>
    <t>Home insurance (annual)</t>
  </si>
  <si>
    <t>Home &amp; Property</t>
  </si>
  <si>
    <t>Home maintenance &amp; repairs</t>
  </si>
  <si>
    <t>Appliance replacement fund</t>
  </si>
  <si>
    <t>TRANSPORT</t>
  </si>
  <si>
    <t>Car insurance (annual)</t>
  </si>
  <si>
    <t>Transport</t>
  </si>
  <si>
    <t>Car service / MOT</t>
  </si>
  <si>
    <t>Road tax</t>
  </si>
  <si>
    <t>Tyres &amp; maintenance</t>
  </si>
  <si>
    <t>FAMILY &amp; CHILDREN</t>
  </si>
  <si>
    <t>School fees / activities</t>
  </si>
  <si>
    <t>Family</t>
  </si>
  <si>
    <t>Children’s clothing &amp; equipment</t>
  </si>
  <si>
    <t>Birthday &amp; Christmas gifts</t>
  </si>
  <si>
    <t>LIFESTYLE</t>
  </si>
  <si>
    <t>Holidays &amp; travel</t>
  </si>
  <si>
    <t>Lifestyle</t>
  </si>
  <si>
    <t>Clothing &amp; seasonal wardrobe</t>
  </si>
  <si>
    <t>Annual memberships</t>
  </si>
  <si>
    <t>HEALTH &amp; WELLBEING</t>
  </si>
  <si>
    <t>Dental / medical (annual)</t>
  </si>
  <si>
    <t>Health</t>
  </si>
  <si>
    <t>Glasses / contacts</t>
  </si>
  <si>
    <t>Other health costs</t>
  </si>
  <si>
    <t>OTHER</t>
  </si>
  <si>
    <t>Other annual cost</t>
  </si>
  <si>
    <t>Other</t>
  </si>
  <si>
    <t>TOTAL ANNUAL IRREGULAR COSTS</t>
  </si>
  <si>
    <t>← This feeds into your Command Center automatically</t>
  </si>
  <si>
    <t>SURPRISE ELIMINATION SCORE</t>
  </si>
  <si>
    <t>How well is your structure engineering out financial volatility?</t>
  </si>
  <si>
    <t>Monthly provision running</t>
  </si>
  <si>
    <t>kr/month provisioned against irregular costs</t>
  </si>
  <si>
    <t>Annual costs fully covered?</t>
  </si>
  <si>
    <t>Months of expenses provisioned</t>
  </si>
  <si>
    <t>Target: 12 — fully engineered</t>
  </si>
  <si>
    <t>Net Position Snapshot — your complete financial picture.</t>
  </si>
  <si>
    <t>Update monthly. One number tells you if your system is stable or action is required.</t>
  </si>
  <si>
    <t>Structural Component</t>
  </si>
  <si>
    <t>Current Value (kr)</t>
  </si>
  <si>
    <t>Target Status</t>
  </si>
  <si>
    <t>Standard</t>
  </si>
  <si>
    <t>1. LIQUIDITY RESERVE</t>
  </si>
  <si>
    <t>Cash &amp; immediately accessible funds. Your Shock Absorber. Target: 5–10% of total assets.</t>
  </si>
  <si>
    <t>Cash &amp; Immediate Access Buffers</t>
  </si>
  <si>
    <t>Target: 5–10% of total assets</t>
  </si>
  <si>
    <t>2. WEALTH VELOCITY ASSETS</t>
  </si>
  <si>
    <t>Investments, pension, and property. Enter full property market value — equity is calculated automatically below.</t>
  </si>
  <si>
    <t>Investments (funds, stocks, ETFs)</t>
  </si>
  <si>
    <t>Pension / retirement accounts</t>
  </si>
  <si>
    <t>Property — full market value</t>
  </si>
  <si>
    <t>Enter full market value. Equity calculated below.</t>
  </si>
  <si>
    <t>Other wealth-building assets</t>
  </si>
  <si>
    <t>TOTAL WEALTH VELOCITY (incl. full property value)</t>
  </si>
  <si>
    <t>3. STRUCTURAL LIABILITIES</t>
  </si>
  <si>
    <t>Enter as positive numbers. Mortgage is used to calculate true property equity automatically.</t>
  </si>
  <si>
    <t>Mortgage</t>
  </si>
  <si>
    <t>Outstanding mortgage balance</t>
  </si>
  <si>
    <t>Car loan</t>
  </si>
  <si>
    <t>Student loans</t>
  </si>
  <si>
    <t>Credit cards &amp; short-term debt</t>
  </si>
  <si>
    <t>Other liabilities</t>
  </si>
  <si>
    <t>TOTAL STRUCTURAL LIABILITIES</t>
  </si>
  <si>
    <t>PROPERTY EQUITY — CALCULATED AUTOMATICALLY</t>
  </si>
  <si>
    <t>Your true ownership stake in your property. Calculated from the values entered above.</t>
  </si>
  <si>
    <t>Property market value</t>
  </si>
  <si>
    <t>From Wealth Velocity above</t>
  </si>
  <si>
    <t>Outstanding mortgage</t>
  </si>
  <si>
    <t>From Structural Liabilities above</t>
  </si>
  <si>
    <t>TRUE PROPERTY EQUITY</t>
  </si>
  <si>
    <t>Property value minus mortgage</t>
  </si>
  <si>
    <t>NET STRUCTURAL POSITION</t>
  </si>
  <si>
    <t>If SYSTEM STABLE — return to your life.</t>
  </si>
  <si>
    <t>STRUCTURAL BENCHMARKS</t>
  </si>
  <si>
    <t>All percentages calculated against total assets — stable and meaningful regardless of liability level.</t>
  </si>
  <si>
    <t>Liquidity Reserve %</t>
  </si>
  <si>
    <t>Investments &amp; Pension %</t>
  </si>
  <si>
    <t>Target: growing year on year</t>
  </si>
  <si>
    <t>Property Equity %</t>
  </si>
  <si>
    <t>Your ownership share</t>
  </si>
  <si>
    <t>Loan-to-Value (mortgage)</t>
  </si>
  <si>
    <t>Target: &lt;80% — under 70% is strong</t>
  </si>
  <si>
    <t>Consumer Debt Ratio</t>
  </si>
  <si>
    <t>Target: &lt;5% of total assets</t>
  </si>
  <si>
    <t>Monthly Structural Activation — 5 minutes. Once a month.</t>
  </si>
  <si>
    <t>Structure is installed once. Discipline is maintained monthly. If the system is running, this is all you need to do.</t>
  </si>
  <si>
    <t>THIS MONTH</t>
  </si>
  <si>
    <t>Month</t>
  </si>
  <si>
    <t>e.g. April 2026</t>
  </si>
  <si>
    <t>Income this month (after tax)</t>
  </si>
  <si>
    <t>Update in Command Center if different</t>
  </si>
  <si>
    <t>Any structural changes this month?</t>
  </si>
  <si>
    <t>New job, pay rise, new expenses — note here</t>
  </si>
  <si>
    <t>NET POSITION THIS MONTH</t>
  </si>
  <si>
    <t>SYSTEM STATUS</t>
  </si>
  <si>
    <t>If SYSTEM STABLE — complete checklist and return to your life.</t>
  </si>
  <si>
    <t>MONTHLY ACTIVATION CHECKLIST</t>
  </si>
  <si>
    <t>Tick each item. When all are done, the system is running for another month.</t>
  </si>
  <si>
    <t>☐  Review income — confirm this month’s inflow</t>
  </si>
  <si>
    <t>Update Command Center if changed</t>
  </si>
  <si>
    <t>Income</t>
  </si>
  <si>
    <t>☐  Confirm Wealth Building transfer executed</t>
  </si>
  <si>
    <t>Consistency is non-negotiable</t>
  </si>
  <si>
    <t>☐  Confirm Future Buffer transfer executed</t>
  </si>
  <si>
    <t>Stability is built deliberately</t>
  </si>
  <si>
    <t>☐  Confirm Guilt-Free transfer to spending account</t>
  </si>
  <si>
    <t>Non-negotiable. You’ve earned this.</t>
  </si>
  <si>
    <t>Guilt-Free</t>
  </si>
  <si>
    <t>☐  Confirm irregular provision running</t>
  </si>
  <si>
    <t>Check Irregular Expense System tab</t>
  </si>
  <si>
    <t>Irregular</t>
  </si>
  <si>
    <t>☐  Review Net Position Snapshot</t>
  </si>
  <si>
    <t>Update balances if needed</t>
  </si>
  <si>
    <t>Net Position</t>
  </si>
  <si>
    <t>☐  Revisit Financial Power Declaration</t>
  </si>
  <si>
    <t>From your installation workbook</t>
  </si>
  <si>
    <t>Mindset</t>
  </si>
  <si>
    <t>☐  Set next review date</t>
  </si>
  <si>
    <t>Same time next month</t>
  </si>
  <si>
    <t>Activation</t>
  </si>
  <si>
    <t>NEXT STEPS</t>
  </si>
  <si>
    <t>Next review date</t>
  </si>
  <si>
    <t>Set it now so you don’t have to remember</t>
  </si>
  <si>
    <t>Primary structural focus this month</t>
  </si>
  <si>
    <t>One thing. Not five.</t>
  </si>
  <si>
    <t>Structure is installed once. Discipline is maintained monthly. The system runs. You don’t have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</si>
</sst>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kr&quot;"/>
    <numFmt numFmtId="165" formatCode="0.0%"/>
  </numFmts>
  <fonts count="20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FFFF"/>
      <name val="Lato"/>
    </font>
    <font>
      <sz val="11"/>
      <name val="Calibri"/>
    </font>
    <font>
      <i/>
      <sz val="10"/>
      <color rgb="FFFFFFFF"/>
      <name val="Lato"/>
    </font>
    <font>
      <i/>
      <sz val="9"/>
      <color rgb="FF999999"/>
      <name val="Lato"/>
    </font>
    <font>
      <b/>
      <sz val="9"/>
      <color rgb="FF8B4A3A"/>
      <name val="Lato"/>
    </font>
    <font>
      <i/>
      <sz val="9"/>
      <color rgb="FF2C2C2C"/>
      <name val="Lato"/>
    </font>
    <font>
      <b/>
      <sz val="10"/>
      <color rgb="FF8B4A3A"/>
      <name val="Lato"/>
    </font>
    <font>
      <i/>
      <sz val="9"/>
      <color rgb="FF8B4A3A"/>
      <name val="Lato"/>
    </font>
    <font>
      <i/>
      <sz val="8"/>
      <color rgb="FFFFFFFF"/>
      <name val="Lato"/>
    </font>
    <font>
      <sz val="10"/>
      <color rgb="FF2C2C2C"/>
      <name val="Lato"/>
    </font>
    <font>
      <b/>
      <sz val="10"/>
      <color rgb="FF2C2C2C"/>
      <name val="Lato"/>
    </font>
    <font>
      <b/>
      <sz val="11"/>
      <color rgb="FF8B4A3A"/>
      <name val="Lato"/>
    </font>
    <font>
      <i/>
      <sz val="10"/>
      <color rgb="FF2C2C2C"/>
      <name val="Lato"/>
    </font>
    <font>
      <b/>
      <sz val="12"/>
      <color rgb="FFFFFFFF"/>
      <name val="Lato"/>
    </font>
    <font>
      <b/>
      <sz val="11"/>
      <color rgb="FFFFFFFF"/>
      <name val="Lato"/>
    </font>
    <font>
      <i/>
      <sz val="9"/>
      <color rgb="FFFFFFFF"/>
      <name val="Lato"/>
    </font>
    <font>
      <b/>
      <sz val="13"/>
      <color rgb="FFFFFFFF"/>
      <name val="Lato"/>
    </font>
    <font>
      <i/>
      <sz val="8"/>
      <color rgb="FF999999"/>
      <name val="Lato"/>
    </font>
  </fonts>
  <fills count="6">
    <fill>
      <patternFill patternType="none"/>
    </fill>
    <fill>
      <patternFill patternType="gray125"/>
    </fill>
    <fill>
      <patternFill patternType="solid">
        <fgColor rgb="FF8B4A3A"/>
        <bgColor rgb="FF8B4A3A"/>
      </patternFill>
    </fill>
    <fill>
      <patternFill patternType="solid">
        <fgColor rgb="FFEAE5DF"/>
        <bgColor rgb="FFEAE5DF"/>
      </patternFill>
    </fill>
    <fill>
      <patternFill patternType="solid">
        <fgColor rgb="FFDDD7D0"/>
        <bgColor rgb="FFDDD7D0"/>
      </patternFill>
    </fill>
    <fill>
      <patternFill patternType="solid">
        <fgColor rgb="FFF4F0EC"/>
        <bgColor rgb="FFF4F0E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5" borderId="1" xfId="0" applyFont="1" applyFill="1" applyBorder="1" applyAlignment="1"/>
    <xf numFmtId="0" fontId="11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64" fontId="13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3" fillId="0" borderId="4" xfId="0" applyFont="1" applyBorder="1"/>
    <xf numFmtId="0" fontId="9" fillId="4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0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/>
  <cols>
    <col min="1" max="1" width="42" customWidth="1"/>
    <col min="2" max="2" width="36" customWidth="1"/>
    <col min="3" max="6" width="8" customWidth="1"/>
  </cols>
  <sheetData>
    <row r="1" spans="1:6" ht="7.5" customHeight="1">
      <c r="A1" s="1"/>
      <c r="B1" s="1"/>
      <c r="C1" s="1"/>
      <c r="D1" s="1"/>
      <c r="E1" s="1"/>
      <c r="F1" s="1"/>
    </row>
    <row r="2" spans="1:6" ht="31.5" customHeight="1">
      <c r="A2" s="58" t="s">
        <v>0</v>
      </c>
      <c r="B2" s="50"/>
      <c r="C2" s="50"/>
      <c r="D2" s="50"/>
      <c r="E2" s="50"/>
      <c r="F2" s="48"/>
    </row>
    <row r="3" spans="1:6" ht="19.5" customHeight="1">
      <c r="A3" s="59" t="s">
        <v>1</v>
      </c>
      <c r="B3" s="50"/>
      <c r="C3" s="50"/>
      <c r="D3" s="50"/>
      <c r="E3" s="50"/>
      <c r="F3" s="48"/>
    </row>
    <row r="4" spans="1:6" ht="7.5" customHeight="1">
      <c r="A4" s="1"/>
      <c r="B4" s="1"/>
      <c r="C4" s="1"/>
      <c r="D4" s="1"/>
      <c r="E4" s="1"/>
      <c r="F4" s="1"/>
    </row>
    <row r="5" spans="1:6" ht="7.5" customHeight="1">
      <c r="A5" s="2"/>
      <c r="B5" s="2"/>
      <c r="C5" s="2"/>
      <c r="D5" s="2"/>
      <c r="E5" s="2"/>
      <c r="F5" s="2"/>
    </row>
    <row r="6" spans="1:6" ht="15.75" customHeight="1">
      <c r="A6" s="60" t="s">
        <v>2</v>
      </c>
      <c r="B6" s="50"/>
      <c r="C6" s="50"/>
      <c r="D6" s="50"/>
      <c r="E6" s="50"/>
      <c r="F6" s="48"/>
    </row>
    <row r="7" spans="1:6" ht="7.5" customHeight="1">
      <c r="A7" s="2"/>
      <c r="B7" s="2"/>
      <c r="C7" s="2"/>
      <c r="D7" s="2"/>
      <c r="E7" s="2"/>
      <c r="F7" s="2"/>
    </row>
    <row r="8" spans="1:6" ht="21.75" customHeight="1">
      <c r="A8" s="56" t="s">
        <v>3</v>
      </c>
      <c r="B8" s="50"/>
      <c r="C8" s="50"/>
      <c r="D8" s="50"/>
      <c r="E8" s="50"/>
      <c r="F8" s="48"/>
    </row>
    <row r="9" spans="1:6" ht="7.5" customHeight="1">
      <c r="A9" s="2"/>
      <c r="B9" s="2"/>
      <c r="C9" s="2"/>
      <c r="D9" s="2"/>
      <c r="E9" s="2"/>
      <c r="F9" s="2"/>
    </row>
    <row r="10" spans="1:6" ht="18" customHeight="1">
      <c r="A10" s="57" t="s">
        <v>4</v>
      </c>
      <c r="B10" s="48"/>
      <c r="C10" s="2"/>
      <c r="D10" s="2"/>
      <c r="E10" s="2"/>
      <c r="F10" s="2"/>
    </row>
    <row r="11" spans="1:6" ht="27.75" customHeight="1">
      <c r="A11" s="53" t="s">
        <v>5</v>
      </c>
      <c r="B11" s="48"/>
      <c r="C11" s="2"/>
      <c r="D11" s="2"/>
      <c r="E11" s="2"/>
      <c r="F11" s="2"/>
    </row>
    <row r="12" spans="1:6" ht="7.5" customHeight="1">
      <c r="A12" s="2"/>
      <c r="B12" s="2"/>
      <c r="C12" s="2"/>
      <c r="D12" s="2"/>
      <c r="E12" s="2"/>
      <c r="F12" s="2"/>
    </row>
    <row r="13" spans="1:6" ht="18" customHeight="1">
      <c r="A13" s="55" t="s">
        <v>6</v>
      </c>
      <c r="B13" s="48"/>
      <c r="C13" s="3"/>
      <c r="D13" s="3"/>
      <c r="E13" s="3"/>
      <c r="F13" s="3"/>
    </row>
    <row r="14" spans="1:6" ht="27.75" customHeight="1">
      <c r="A14" s="47" t="s">
        <v>7</v>
      </c>
      <c r="B14" s="48"/>
      <c r="C14" s="3"/>
      <c r="D14" s="3"/>
      <c r="E14" s="3"/>
      <c r="F14" s="3"/>
    </row>
    <row r="15" spans="1:6" ht="7.5" customHeight="1">
      <c r="A15" s="2"/>
      <c r="B15" s="2"/>
      <c r="C15" s="2"/>
      <c r="D15" s="2"/>
      <c r="E15" s="2"/>
      <c r="F15" s="2"/>
    </row>
    <row r="16" spans="1:6" ht="18" customHeight="1">
      <c r="A16" s="57" t="s">
        <v>8</v>
      </c>
      <c r="B16" s="48"/>
      <c r="C16" s="2"/>
      <c r="D16" s="2"/>
      <c r="E16" s="2"/>
      <c r="F16" s="2"/>
    </row>
    <row r="17" spans="1:6" ht="27.75" customHeight="1">
      <c r="A17" s="53" t="s">
        <v>9</v>
      </c>
      <c r="B17" s="48"/>
      <c r="C17" s="2"/>
      <c r="D17" s="2"/>
      <c r="E17" s="2"/>
      <c r="F17" s="2"/>
    </row>
    <row r="18" spans="1:6" ht="7.5" customHeight="1">
      <c r="A18" s="2"/>
      <c r="B18" s="2"/>
      <c r="C18" s="2"/>
      <c r="D18" s="2"/>
      <c r="E18" s="2"/>
      <c r="F18" s="2"/>
    </row>
    <row r="19" spans="1:6" ht="18" customHeight="1">
      <c r="A19" s="55" t="s">
        <v>10</v>
      </c>
      <c r="B19" s="48"/>
      <c r="C19" s="3"/>
      <c r="D19" s="3"/>
      <c r="E19" s="3"/>
      <c r="F19" s="3"/>
    </row>
    <row r="20" spans="1:6" ht="27.75" customHeight="1">
      <c r="A20" s="47" t="s">
        <v>11</v>
      </c>
      <c r="B20" s="48"/>
      <c r="C20" s="3"/>
      <c r="D20" s="3"/>
      <c r="E20" s="3"/>
      <c r="F20" s="3"/>
    </row>
    <row r="21" spans="1:6" ht="7.5" customHeight="1">
      <c r="A21" s="2"/>
      <c r="B21" s="2"/>
      <c r="C21" s="2"/>
      <c r="D21" s="2"/>
      <c r="E21" s="2"/>
      <c r="F21" s="2"/>
    </row>
    <row r="22" spans="1:6" ht="7.5" customHeight="1">
      <c r="A22" s="2"/>
      <c r="B22" s="2"/>
      <c r="C22" s="2"/>
      <c r="D22" s="2"/>
      <c r="E22" s="2"/>
      <c r="F22" s="2"/>
    </row>
    <row r="23" spans="1:6" ht="21.75" customHeight="1">
      <c r="A23" s="56" t="s">
        <v>12</v>
      </c>
      <c r="B23" s="50"/>
      <c r="C23" s="50"/>
      <c r="D23" s="50"/>
      <c r="E23" s="50"/>
      <c r="F23" s="48"/>
    </row>
    <row r="24" spans="1:6" ht="7.5" customHeight="1">
      <c r="A24" s="2"/>
      <c r="B24" s="2"/>
      <c r="C24" s="2"/>
      <c r="D24" s="2"/>
      <c r="E24" s="2"/>
      <c r="F24" s="2"/>
    </row>
    <row r="25" spans="1:6" ht="21.75" customHeight="1">
      <c r="A25" s="54" t="s">
        <v>13</v>
      </c>
      <c r="B25" s="48"/>
      <c r="C25" s="3"/>
      <c r="D25" s="3"/>
      <c r="E25" s="3"/>
      <c r="F25" s="3"/>
    </row>
    <row r="26" spans="1:6" ht="24" customHeight="1">
      <c r="A26" s="47" t="s">
        <v>14</v>
      </c>
      <c r="B26" s="48"/>
      <c r="C26" s="3"/>
      <c r="D26" s="3"/>
      <c r="E26" s="3"/>
      <c r="F26" s="3"/>
    </row>
    <row r="27" spans="1:6" ht="7.5" customHeight="1">
      <c r="A27" s="2"/>
      <c r="B27" s="2"/>
      <c r="C27" s="2"/>
      <c r="D27" s="2"/>
      <c r="E27" s="2"/>
      <c r="F27" s="2"/>
    </row>
    <row r="28" spans="1:6" ht="21.75" customHeight="1">
      <c r="A28" s="52" t="s">
        <v>15</v>
      </c>
      <c r="B28" s="48"/>
      <c r="C28" s="2"/>
      <c r="D28" s="2"/>
      <c r="E28" s="2"/>
      <c r="F28" s="2"/>
    </row>
    <row r="29" spans="1:6" ht="24" customHeight="1">
      <c r="A29" s="53" t="s">
        <v>16</v>
      </c>
      <c r="B29" s="48"/>
      <c r="C29" s="2"/>
      <c r="D29" s="2"/>
      <c r="E29" s="2"/>
      <c r="F29" s="2"/>
    </row>
    <row r="30" spans="1:6" ht="7.5" customHeight="1">
      <c r="A30" s="2"/>
      <c r="B30" s="2"/>
      <c r="C30" s="2"/>
      <c r="D30" s="2"/>
      <c r="E30" s="2"/>
      <c r="F30" s="2"/>
    </row>
    <row r="31" spans="1:6" ht="21.75" customHeight="1">
      <c r="A31" s="54" t="s">
        <v>17</v>
      </c>
      <c r="B31" s="48"/>
      <c r="C31" s="3"/>
      <c r="D31" s="3"/>
      <c r="E31" s="3"/>
      <c r="F31" s="3"/>
    </row>
    <row r="32" spans="1:6" ht="24" customHeight="1">
      <c r="A32" s="47" t="s">
        <v>18</v>
      </c>
      <c r="B32" s="48"/>
      <c r="C32" s="3"/>
      <c r="D32" s="3"/>
      <c r="E32" s="3"/>
      <c r="F32" s="3"/>
    </row>
    <row r="33" spans="1:6" ht="7.5" customHeight="1">
      <c r="A33" s="2"/>
      <c r="B33" s="2"/>
      <c r="C33" s="2"/>
      <c r="D33" s="2"/>
      <c r="E33" s="2"/>
      <c r="F33" s="2"/>
    </row>
    <row r="34" spans="1:6" ht="21.75" customHeight="1">
      <c r="A34" s="52" t="s">
        <v>19</v>
      </c>
      <c r="B34" s="48"/>
      <c r="C34" s="2"/>
      <c r="D34" s="2"/>
      <c r="E34" s="2"/>
      <c r="F34" s="2"/>
    </row>
    <row r="35" spans="1:6" ht="24" customHeight="1">
      <c r="A35" s="53" t="s">
        <v>20</v>
      </c>
      <c r="B35" s="48"/>
      <c r="C35" s="2"/>
      <c r="D35" s="2"/>
      <c r="E35" s="2"/>
      <c r="F35" s="2"/>
    </row>
    <row r="36" spans="1:6" ht="7.5" customHeight="1">
      <c r="A36" s="2"/>
      <c r="B36" s="2"/>
      <c r="C36" s="2"/>
      <c r="D36" s="2"/>
      <c r="E36" s="2"/>
      <c r="F36" s="2"/>
    </row>
    <row r="37" spans="1:6" ht="21.75" customHeight="1">
      <c r="A37" s="54" t="s">
        <v>21</v>
      </c>
      <c r="B37" s="48"/>
      <c r="C37" s="3"/>
      <c r="D37" s="3"/>
      <c r="E37" s="3"/>
      <c r="F37" s="3"/>
    </row>
    <row r="38" spans="1:6" ht="24" customHeight="1">
      <c r="A38" s="47" t="s">
        <v>22</v>
      </c>
      <c r="B38" s="48"/>
      <c r="C38" s="3"/>
      <c r="D38" s="3"/>
      <c r="E38" s="3"/>
      <c r="F38" s="3"/>
    </row>
    <row r="39" spans="1:6" ht="7.5" customHeight="1">
      <c r="A39" s="2"/>
      <c r="B39" s="2"/>
      <c r="C39" s="2"/>
      <c r="D39" s="2"/>
      <c r="E39" s="2"/>
      <c r="F39" s="2"/>
    </row>
    <row r="40" spans="1:6" ht="7.5" customHeight="1">
      <c r="A40" s="2"/>
      <c r="B40" s="2"/>
      <c r="C40" s="2"/>
      <c r="D40" s="2"/>
      <c r="E40" s="2"/>
      <c r="F40" s="2"/>
    </row>
    <row r="41" spans="1:6" ht="27.75" customHeight="1">
      <c r="A41" s="49" t="s">
        <v>23</v>
      </c>
      <c r="B41" s="50"/>
      <c r="C41" s="50"/>
      <c r="D41" s="50"/>
      <c r="E41" s="50"/>
      <c r="F41" s="48"/>
    </row>
    <row r="42" spans="1:6" ht="7.5" customHeight="1">
      <c r="A42" s="2"/>
      <c r="B42" s="2"/>
      <c r="C42" s="2"/>
      <c r="D42" s="2"/>
      <c r="E42" s="2"/>
      <c r="F42" s="2"/>
    </row>
    <row r="43" spans="1:6" ht="19.5" customHeight="1">
      <c r="A43" s="51" t="s">
        <v>24</v>
      </c>
      <c r="B43" s="50"/>
      <c r="C43" s="50"/>
      <c r="D43" s="50"/>
      <c r="E43" s="50"/>
      <c r="F43" s="48"/>
    </row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2:F2"/>
    <mergeCell ref="A3:F3"/>
    <mergeCell ref="A6:F6"/>
    <mergeCell ref="A8:F8"/>
    <mergeCell ref="A10:B10"/>
    <mergeCell ref="A11:B11"/>
    <mergeCell ref="A13:B13"/>
    <mergeCell ref="A14:B14"/>
    <mergeCell ref="A16:B16"/>
    <mergeCell ref="A17:B17"/>
    <mergeCell ref="A19:B19"/>
    <mergeCell ref="A20:B20"/>
    <mergeCell ref="A23:F23"/>
    <mergeCell ref="A25:B25"/>
    <mergeCell ref="A37:B37"/>
    <mergeCell ref="A38:B38"/>
    <mergeCell ref="A41:F41"/>
    <mergeCell ref="A43:F43"/>
    <mergeCell ref="A26:B26"/>
    <mergeCell ref="A28:B28"/>
    <mergeCell ref="A29:B29"/>
    <mergeCell ref="A31:B31"/>
    <mergeCell ref="A32:B32"/>
    <mergeCell ref="A34:B34"/>
    <mergeCell ref="A35:B3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>
      <pane ySplit="8" topLeftCell="A26" activePane="bottomLeft" state="frozen"/>
      <selection pane="bottomLeft" activeCell="B35" sqref="B35"/>
    </sheetView>
  </sheetViews>
  <sheetFormatPr defaultColWidth="14.42578125" defaultRowHeight="15" customHeight="1"/>
  <cols>
    <col min="1" max="1" width="30" customWidth="1"/>
    <col min="2" max="4" width="14" customWidth="1"/>
    <col min="5" max="5" width="20" customWidth="1"/>
    <col min="6" max="6" width="14" customWidth="1"/>
  </cols>
  <sheetData>
    <row r="1" spans="1:6" ht="7.5" customHeight="1">
      <c r="A1" s="1"/>
      <c r="B1" s="1"/>
      <c r="C1" s="1"/>
      <c r="D1" s="1"/>
      <c r="E1" s="1"/>
      <c r="F1" s="1"/>
    </row>
    <row r="2" spans="1:6" ht="31.5" customHeight="1">
      <c r="A2" s="58" t="s">
        <v>0</v>
      </c>
      <c r="B2" s="50"/>
      <c r="C2" s="50"/>
      <c r="D2" s="50"/>
      <c r="E2" s="50"/>
      <c r="F2" s="48"/>
    </row>
    <row r="3" spans="1:6" ht="19.5" customHeight="1">
      <c r="A3" s="59" t="s">
        <v>25</v>
      </c>
      <c r="B3" s="50"/>
      <c r="C3" s="50"/>
      <c r="D3" s="50"/>
      <c r="E3" s="50"/>
      <c r="F3" s="48"/>
    </row>
    <row r="4" spans="1:6" ht="7.5" customHeight="1">
      <c r="A4" s="1"/>
      <c r="B4" s="1"/>
      <c r="C4" s="1"/>
      <c r="D4" s="1"/>
      <c r="E4" s="1"/>
      <c r="F4" s="1"/>
    </row>
    <row r="5" spans="1:6" ht="7.5" customHeight="1">
      <c r="A5" s="2"/>
      <c r="B5" s="2"/>
      <c r="C5" s="2"/>
      <c r="D5" s="2"/>
      <c r="E5" s="2"/>
      <c r="F5" s="2"/>
    </row>
    <row r="6" spans="1:6" ht="15.75" customHeight="1">
      <c r="A6" s="60" t="s">
        <v>26</v>
      </c>
      <c r="B6" s="50"/>
      <c r="C6" s="50"/>
      <c r="D6" s="50"/>
      <c r="E6" s="50"/>
      <c r="F6" s="48"/>
    </row>
    <row r="7" spans="1:6" ht="7.5" customHeight="1">
      <c r="A7" s="2"/>
      <c r="B7" s="2"/>
      <c r="C7" s="2"/>
      <c r="D7" s="2"/>
      <c r="E7" s="2"/>
      <c r="F7" s="2"/>
    </row>
    <row r="8" spans="1:6" ht="7.5" customHeight="1">
      <c r="A8" s="2"/>
      <c r="B8" s="2"/>
      <c r="C8" s="2"/>
      <c r="D8" s="2"/>
      <c r="E8" s="2"/>
      <c r="F8" s="2"/>
    </row>
    <row r="9" spans="1:6" ht="21.75" customHeight="1">
      <c r="A9" s="56" t="s">
        <v>27</v>
      </c>
      <c r="B9" s="50"/>
      <c r="C9" s="50"/>
      <c r="D9" s="50"/>
      <c r="E9" s="50"/>
      <c r="F9" s="48"/>
    </row>
    <row r="10" spans="1:6" ht="15.75" customHeight="1">
      <c r="A10" s="61" t="s">
        <v>28</v>
      </c>
      <c r="B10" s="50"/>
      <c r="C10" s="50"/>
      <c r="D10" s="50"/>
      <c r="E10" s="50"/>
      <c r="F10" s="48"/>
    </row>
    <row r="11" spans="1:6" ht="19.5" customHeight="1">
      <c r="A11" s="4" t="s">
        <v>29</v>
      </c>
      <c r="B11" s="5"/>
      <c r="C11" s="3"/>
      <c r="D11" s="3"/>
      <c r="E11" s="3"/>
      <c r="F11" s="3"/>
    </row>
    <row r="12" spans="1:6" ht="19.5" customHeight="1">
      <c r="A12" s="6" t="s">
        <v>30</v>
      </c>
      <c r="B12" s="7"/>
      <c r="C12" s="2"/>
      <c r="D12" s="2"/>
      <c r="E12" s="2"/>
      <c r="F12" s="2"/>
    </row>
    <row r="13" spans="1:6" ht="19.5" customHeight="1">
      <c r="A13" s="4" t="s">
        <v>31</v>
      </c>
      <c r="B13" s="5"/>
      <c r="C13" s="3"/>
      <c r="D13" s="3"/>
      <c r="E13" s="3"/>
      <c r="F13" s="3"/>
    </row>
    <row r="14" spans="1:6" ht="21.75" customHeight="1">
      <c r="A14" s="8" t="s">
        <v>32</v>
      </c>
      <c r="B14" s="9">
        <f>SUM(B11:B13)</f>
        <v>0</v>
      </c>
      <c r="C14" s="10"/>
      <c r="D14" s="10"/>
      <c r="E14" s="10"/>
      <c r="F14" s="10"/>
    </row>
    <row r="15" spans="1:6" ht="7.5" customHeight="1">
      <c r="A15" s="2"/>
      <c r="B15" s="2"/>
      <c r="C15" s="2"/>
      <c r="D15" s="2"/>
      <c r="E15" s="2"/>
      <c r="F15" s="2"/>
    </row>
    <row r="16" spans="1:6" ht="21.75" customHeight="1">
      <c r="A16" s="56" t="s">
        <v>33</v>
      </c>
      <c r="B16" s="50"/>
      <c r="C16" s="50"/>
      <c r="D16" s="50"/>
      <c r="E16" s="50"/>
      <c r="F16" s="48"/>
    </row>
    <row r="17" spans="1:6" ht="15.75" customHeight="1">
      <c r="A17" s="61" t="s">
        <v>34</v>
      </c>
      <c r="B17" s="50"/>
      <c r="C17" s="50"/>
      <c r="D17" s="50"/>
      <c r="E17" s="50"/>
      <c r="F17" s="48"/>
    </row>
    <row r="18" spans="1:6" ht="19.5" customHeight="1">
      <c r="A18" s="11" t="s">
        <v>35</v>
      </c>
      <c r="B18" s="12" t="s">
        <v>36</v>
      </c>
      <c r="C18" s="12" t="s">
        <v>37</v>
      </c>
      <c r="D18" s="12" t="s">
        <v>38</v>
      </c>
      <c r="E18" s="12" t="s">
        <v>39</v>
      </c>
      <c r="F18" s="12"/>
    </row>
    <row r="19" spans="1:6" ht="21.75" customHeight="1">
      <c r="A19" s="13" t="s">
        <v>40</v>
      </c>
      <c r="B19" s="14" t="s">
        <v>41</v>
      </c>
      <c r="C19" s="15">
        <v>0.6</v>
      </c>
      <c r="D19" s="16">
        <f>IFERROR(C19*B14,0)</f>
        <v>0</v>
      </c>
      <c r="E19" s="17" t="str">
        <f t="shared" ref="E19:E22" si="0">IF(C19="","Enter %",IF(C19&gt;0,"Allocated","Not set"))</f>
        <v>Allocated</v>
      </c>
      <c r="F19" s="3"/>
    </row>
    <row r="20" spans="1:6" ht="21.75" customHeight="1">
      <c r="A20" s="18" t="s">
        <v>42</v>
      </c>
      <c r="B20" s="19" t="s">
        <v>43</v>
      </c>
      <c r="C20" s="20">
        <v>0.1</v>
      </c>
      <c r="D20" s="21">
        <f>IFERROR(C20*B14,0)</f>
        <v>0</v>
      </c>
      <c r="E20" s="22" t="str">
        <f t="shared" si="0"/>
        <v>Allocated</v>
      </c>
      <c r="F20" s="2"/>
    </row>
    <row r="21" spans="1:6" ht="21.75" customHeight="1">
      <c r="A21" s="13" t="s">
        <v>44</v>
      </c>
      <c r="B21" s="14" t="s">
        <v>43</v>
      </c>
      <c r="C21" s="15">
        <v>0.1</v>
      </c>
      <c r="D21" s="16">
        <f>IFERROR(C21*B14,0)</f>
        <v>0</v>
      </c>
      <c r="E21" s="17" t="str">
        <f t="shared" si="0"/>
        <v>Allocated</v>
      </c>
      <c r="F21" s="3"/>
    </row>
    <row r="22" spans="1:6" ht="21.75" customHeight="1">
      <c r="A22" s="18" t="s">
        <v>45</v>
      </c>
      <c r="B22" s="19" t="s">
        <v>46</v>
      </c>
      <c r="C22" s="20">
        <v>0.2</v>
      </c>
      <c r="D22" s="21">
        <f>IFERROR(C22*B14,0)</f>
        <v>0</v>
      </c>
      <c r="E22" s="22" t="str">
        <f t="shared" si="0"/>
        <v>Allocated</v>
      </c>
      <c r="F22" s="2"/>
    </row>
    <row r="23" spans="1:6" ht="7.5" customHeight="1">
      <c r="A23" s="2"/>
      <c r="B23" s="2"/>
      <c r="C23" s="2"/>
      <c r="D23" s="2"/>
      <c r="E23" s="2"/>
      <c r="F23" s="2"/>
    </row>
    <row r="24" spans="1:6" ht="27.75" customHeight="1">
      <c r="A24" s="8" t="s">
        <v>47</v>
      </c>
      <c r="B24" s="10"/>
      <c r="C24" s="23">
        <f>SUM(C19:C22)</f>
        <v>1</v>
      </c>
      <c r="D24" s="10"/>
      <c r="E24" s="24" t="str">
        <f>IF(SUM(C19:C22)=1,"[ STRUCTURE ALIGNED ]",IF(SUM(C19:C22)&lt;1,"[ ALLOCATION INCOMPLETE ]","[ OVER-ALLOCATED — ADJUST ]"))</f>
        <v>[ STRUCTURE ALIGNED ]</v>
      </c>
      <c r="F24" s="10"/>
    </row>
    <row r="25" spans="1:6" ht="7.5" customHeight="1">
      <c r="A25" s="2"/>
      <c r="B25" s="2"/>
      <c r="C25" s="2"/>
      <c r="D25" s="2"/>
      <c r="E25" s="2"/>
      <c r="F25" s="2"/>
    </row>
    <row r="26" spans="1:6" ht="21.75" customHeight="1">
      <c r="A26" s="56" t="s">
        <v>48</v>
      </c>
      <c r="B26" s="50"/>
      <c r="C26" s="50"/>
      <c r="D26" s="50"/>
      <c r="E26" s="50"/>
      <c r="F26" s="48"/>
    </row>
    <row r="27" spans="1:6" ht="15.75" customHeight="1">
      <c r="A27" s="61" t="s">
        <v>49</v>
      </c>
      <c r="B27" s="50"/>
      <c r="C27" s="50"/>
      <c r="D27" s="50"/>
      <c r="E27" s="50"/>
      <c r="F27" s="48"/>
    </row>
    <row r="28" spans="1:6" ht="19.5" customHeight="1">
      <c r="A28" s="25" t="s">
        <v>50</v>
      </c>
      <c r="B28" s="16">
        <f>'Irregular Expense System'!B45</f>
        <v>7083.3333333333339</v>
      </c>
      <c r="C28" s="4"/>
      <c r="D28" s="63" t="s">
        <v>51</v>
      </c>
      <c r="E28" s="50"/>
      <c r="F28" s="48"/>
    </row>
    <row r="29" spans="1:6" ht="7.5" customHeight="1">
      <c r="A29" s="2"/>
      <c r="B29" s="2"/>
      <c r="C29" s="2"/>
      <c r="D29" s="2"/>
      <c r="E29" s="2"/>
      <c r="F29" s="2"/>
    </row>
    <row r="30" spans="1:6" ht="21.75" customHeight="1">
      <c r="A30" s="56" t="s">
        <v>52</v>
      </c>
      <c r="B30" s="50"/>
      <c r="C30" s="50"/>
      <c r="D30" s="50"/>
      <c r="E30" s="50"/>
      <c r="F30" s="48"/>
    </row>
    <row r="31" spans="1:6" ht="15.75" customHeight="1">
      <c r="A31" s="61" t="s">
        <v>53</v>
      </c>
      <c r="B31" s="50"/>
      <c r="C31" s="50"/>
      <c r="D31" s="50"/>
      <c r="E31" s="50"/>
      <c r="F31" s="48"/>
    </row>
    <row r="32" spans="1:6" ht="19.5" customHeight="1">
      <c r="A32" s="6" t="s">
        <v>54</v>
      </c>
      <c r="B32" s="7">
        <f t="shared" ref="B32:B34" si="1">D20</f>
        <v>0</v>
      </c>
      <c r="C32" s="62" t="s">
        <v>55</v>
      </c>
      <c r="D32" s="50"/>
      <c r="E32" s="50"/>
      <c r="F32" s="48"/>
    </row>
    <row r="33" spans="1:6" ht="19.5" customHeight="1">
      <c r="A33" s="4" t="s">
        <v>56</v>
      </c>
      <c r="B33" s="7">
        <f t="shared" si="1"/>
        <v>0</v>
      </c>
      <c r="C33" s="63" t="s">
        <v>55</v>
      </c>
      <c r="D33" s="50"/>
      <c r="E33" s="50"/>
      <c r="F33" s="48"/>
    </row>
    <row r="34" spans="1:6" ht="19.5" customHeight="1">
      <c r="A34" s="6" t="s">
        <v>57</v>
      </c>
      <c r="B34" s="7">
        <f t="shared" si="1"/>
        <v>0</v>
      </c>
      <c r="C34" s="62" t="s">
        <v>58</v>
      </c>
      <c r="D34" s="50"/>
      <c r="E34" s="50"/>
      <c r="F34" s="48"/>
    </row>
    <row r="35" spans="1:6" ht="19.5" customHeight="1">
      <c r="A35" s="4" t="s">
        <v>59</v>
      </c>
      <c r="B35" s="7">
        <f>B28</f>
        <v>7083.3333333333339</v>
      </c>
      <c r="C35" s="63" t="s">
        <v>60</v>
      </c>
      <c r="D35" s="50"/>
      <c r="E35" s="50"/>
      <c r="F35" s="48"/>
    </row>
    <row r="36" spans="1:6" ht="7.5" customHeight="1">
      <c r="A36" s="2"/>
      <c r="B36" s="2"/>
      <c r="C36" s="2"/>
      <c r="D36" s="2"/>
      <c r="E36" s="2"/>
      <c r="F36" s="2"/>
    </row>
    <row r="37" spans="1:6" ht="19.5" customHeight="1">
      <c r="A37" s="51" t="s">
        <v>24</v>
      </c>
      <c r="B37" s="50"/>
      <c r="C37" s="50"/>
      <c r="D37" s="50"/>
      <c r="E37" s="50"/>
      <c r="F37" s="48"/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F2"/>
    <mergeCell ref="A3:F3"/>
    <mergeCell ref="A6:F6"/>
    <mergeCell ref="A9:F9"/>
    <mergeCell ref="A10:F10"/>
    <mergeCell ref="A16:F16"/>
    <mergeCell ref="A17:F17"/>
    <mergeCell ref="C34:F34"/>
    <mergeCell ref="C35:F35"/>
    <mergeCell ref="A37:F37"/>
    <mergeCell ref="A26:F26"/>
    <mergeCell ref="A27:F27"/>
    <mergeCell ref="D28:F28"/>
    <mergeCell ref="A30:F30"/>
    <mergeCell ref="A31:F31"/>
    <mergeCell ref="C32:F32"/>
    <mergeCell ref="C33:F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workbookViewId="0">
      <pane ySplit="8" topLeftCell="A46" activePane="bottomLeft" state="frozen"/>
      <selection pane="bottomLeft" activeCell="B47" sqref="B47"/>
    </sheetView>
  </sheetViews>
  <sheetFormatPr defaultColWidth="14.42578125" defaultRowHeight="15" customHeight="1"/>
  <cols>
    <col min="1" max="1" width="34" customWidth="1"/>
    <col min="2" max="2" width="23.140625" customWidth="1"/>
    <col min="3" max="3" width="16" customWidth="1"/>
    <col min="4" max="4" width="28" customWidth="1"/>
    <col min="5" max="5" width="14" customWidth="1"/>
    <col min="6" max="6" width="8" customWidth="1"/>
  </cols>
  <sheetData>
    <row r="1" spans="1:6" ht="7.5" customHeight="1">
      <c r="A1" s="1"/>
      <c r="B1" s="1"/>
      <c r="C1" s="1"/>
      <c r="D1" s="1"/>
      <c r="E1" s="1"/>
      <c r="F1" s="1"/>
    </row>
    <row r="2" spans="1:6" ht="31.5" customHeight="1">
      <c r="A2" s="58" t="s">
        <v>0</v>
      </c>
      <c r="B2" s="50"/>
      <c r="C2" s="50"/>
      <c r="D2" s="50"/>
      <c r="E2" s="50"/>
      <c r="F2" s="48"/>
    </row>
    <row r="3" spans="1:6" ht="19.5" customHeight="1">
      <c r="A3" s="59" t="s">
        <v>61</v>
      </c>
      <c r="B3" s="50"/>
      <c r="C3" s="50"/>
      <c r="D3" s="50"/>
      <c r="E3" s="50"/>
      <c r="F3" s="48"/>
    </row>
    <row r="4" spans="1:6" ht="7.5" customHeight="1">
      <c r="A4" s="1"/>
      <c r="B4" s="1"/>
      <c r="C4" s="1"/>
      <c r="D4" s="1"/>
      <c r="E4" s="1"/>
      <c r="F4" s="1"/>
    </row>
    <row r="5" spans="1:6" ht="7.5" customHeight="1">
      <c r="A5" s="2"/>
      <c r="B5" s="2"/>
      <c r="C5" s="2"/>
      <c r="D5" s="2"/>
      <c r="E5" s="2"/>
      <c r="F5" s="2"/>
    </row>
    <row r="6" spans="1:6" ht="15.75" customHeight="1">
      <c r="A6" s="60" t="s">
        <v>62</v>
      </c>
      <c r="B6" s="50"/>
      <c r="C6" s="50"/>
      <c r="D6" s="50"/>
      <c r="E6" s="50"/>
      <c r="F6" s="48"/>
    </row>
    <row r="7" spans="1:6" ht="7.5" customHeight="1">
      <c r="A7" s="2"/>
      <c r="B7" s="2"/>
      <c r="C7" s="2"/>
      <c r="D7" s="2"/>
      <c r="E7" s="2"/>
      <c r="F7" s="2"/>
    </row>
    <row r="8" spans="1:6" ht="19.5" customHeight="1">
      <c r="A8" s="11" t="s">
        <v>63</v>
      </c>
      <c r="B8" s="12" t="s">
        <v>64</v>
      </c>
      <c r="C8" s="12" t="s">
        <v>65</v>
      </c>
      <c r="D8" s="12" t="s">
        <v>66</v>
      </c>
      <c r="E8" s="12" t="s">
        <v>67</v>
      </c>
      <c r="F8" s="12"/>
    </row>
    <row r="9" spans="1:6" ht="7.5" customHeight="1">
      <c r="A9" s="2"/>
      <c r="B9" s="2"/>
      <c r="C9" s="2"/>
      <c r="D9" s="2"/>
      <c r="E9" s="2"/>
      <c r="F9" s="2"/>
    </row>
    <row r="10" spans="1:6" ht="21.75" customHeight="1">
      <c r="A10" s="56" t="s">
        <v>68</v>
      </c>
      <c r="B10" s="50"/>
      <c r="C10" s="50"/>
      <c r="D10" s="50"/>
      <c r="E10" s="50"/>
      <c r="F10" s="48"/>
    </row>
    <row r="11" spans="1:6" ht="19.5" customHeight="1">
      <c r="A11" s="4" t="s">
        <v>69</v>
      </c>
      <c r="B11" s="5">
        <v>6000</v>
      </c>
      <c r="C11" s="16">
        <f t="shared" ref="C11:C13" si="0">IFERROR(B11/12,0)</f>
        <v>500</v>
      </c>
      <c r="D11" s="4"/>
      <c r="E11" s="26" t="s">
        <v>70</v>
      </c>
      <c r="F11" s="3"/>
    </row>
    <row r="12" spans="1:6" ht="19.5" customHeight="1">
      <c r="A12" s="6" t="s">
        <v>71</v>
      </c>
      <c r="B12" s="7"/>
      <c r="C12" s="21">
        <f t="shared" si="0"/>
        <v>0</v>
      </c>
      <c r="D12" s="6"/>
      <c r="E12" s="27" t="s">
        <v>70</v>
      </c>
      <c r="F12" s="2"/>
    </row>
    <row r="13" spans="1:6" ht="19.5" customHeight="1">
      <c r="A13" s="4" t="s">
        <v>72</v>
      </c>
      <c r="B13" s="5"/>
      <c r="C13" s="16">
        <f t="shared" si="0"/>
        <v>0</v>
      </c>
      <c r="D13" s="4"/>
      <c r="E13" s="26" t="s">
        <v>70</v>
      </c>
      <c r="F13" s="3"/>
    </row>
    <row r="14" spans="1:6" ht="7.5" customHeight="1">
      <c r="A14" s="2"/>
      <c r="B14" s="2"/>
      <c r="C14" s="2"/>
      <c r="D14" s="2"/>
      <c r="E14" s="2"/>
      <c r="F14" s="2"/>
    </row>
    <row r="15" spans="1:6" ht="21.75" customHeight="1">
      <c r="A15" s="56" t="s">
        <v>73</v>
      </c>
      <c r="B15" s="50"/>
      <c r="C15" s="50"/>
      <c r="D15" s="50"/>
      <c r="E15" s="50"/>
      <c r="F15" s="48"/>
    </row>
    <row r="16" spans="1:6" ht="19.5" customHeight="1">
      <c r="A16" s="6" t="s">
        <v>74</v>
      </c>
      <c r="B16" s="7"/>
      <c r="C16" s="21">
        <f t="shared" ref="C16:C19" si="1">IFERROR(B16/12,0)</f>
        <v>0</v>
      </c>
      <c r="D16" s="6"/>
      <c r="E16" s="27" t="s">
        <v>75</v>
      </c>
      <c r="F16" s="2"/>
    </row>
    <row r="17" spans="1:6" ht="19.5" customHeight="1">
      <c r="A17" s="4" t="s">
        <v>76</v>
      </c>
      <c r="B17" s="5"/>
      <c r="C17" s="16">
        <f t="shared" si="1"/>
        <v>0</v>
      </c>
      <c r="D17" s="4"/>
      <c r="E17" s="26" t="s">
        <v>75</v>
      </c>
      <c r="F17" s="3"/>
    </row>
    <row r="18" spans="1:6" ht="19.5" customHeight="1">
      <c r="A18" s="6" t="s">
        <v>77</v>
      </c>
      <c r="B18" s="7"/>
      <c r="C18" s="21">
        <f t="shared" si="1"/>
        <v>0</v>
      </c>
      <c r="D18" s="6"/>
      <c r="E18" s="27" t="s">
        <v>75</v>
      </c>
      <c r="F18" s="2"/>
    </row>
    <row r="19" spans="1:6" ht="19.5" customHeight="1">
      <c r="A19" s="4" t="s">
        <v>78</v>
      </c>
      <c r="B19" s="5"/>
      <c r="C19" s="16">
        <f t="shared" si="1"/>
        <v>0</v>
      </c>
      <c r="D19" s="4"/>
      <c r="E19" s="26" t="s">
        <v>75</v>
      </c>
      <c r="F19" s="3"/>
    </row>
    <row r="20" spans="1:6" ht="7.5" customHeight="1">
      <c r="A20" s="2"/>
      <c r="B20" s="2"/>
      <c r="C20" s="2"/>
      <c r="D20" s="2"/>
      <c r="E20" s="2"/>
      <c r="F20" s="2"/>
    </row>
    <row r="21" spans="1:6" ht="21.75" customHeight="1">
      <c r="A21" s="56" t="s">
        <v>79</v>
      </c>
      <c r="B21" s="50"/>
      <c r="C21" s="50"/>
      <c r="D21" s="50"/>
      <c r="E21" s="50"/>
      <c r="F21" s="48"/>
    </row>
    <row r="22" spans="1:6" ht="19.5" customHeight="1">
      <c r="A22" s="6" t="s">
        <v>80</v>
      </c>
      <c r="B22" s="7">
        <v>3000</v>
      </c>
      <c r="C22" s="21">
        <f t="shared" ref="C22:C24" si="2">IFERROR(B22/12,0)</f>
        <v>250</v>
      </c>
      <c r="D22" s="6"/>
      <c r="E22" s="27" t="s">
        <v>81</v>
      </c>
      <c r="F22" s="2"/>
    </row>
    <row r="23" spans="1:6" ht="19.5" customHeight="1">
      <c r="A23" s="4" t="s">
        <v>82</v>
      </c>
      <c r="B23" s="5">
        <v>6000</v>
      </c>
      <c r="C23" s="16">
        <f t="shared" si="2"/>
        <v>500</v>
      </c>
      <c r="D23" s="4"/>
      <c r="E23" s="26" t="s">
        <v>81</v>
      </c>
      <c r="F23" s="3"/>
    </row>
    <row r="24" spans="1:6" ht="19.5" customHeight="1">
      <c r="A24" s="6" t="s">
        <v>83</v>
      </c>
      <c r="B24" s="7">
        <v>10000</v>
      </c>
      <c r="C24" s="21">
        <f t="shared" si="2"/>
        <v>833.33333333333337</v>
      </c>
      <c r="D24" s="6"/>
      <c r="E24" s="27" t="s">
        <v>81</v>
      </c>
      <c r="F24" s="2"/>
    </row>
    <row r="25" spans="1:6" ht="7.5" customHeight="1">
      <c r="A25" s="2"/>
      <c r="B25" s="2"/>
      <c r="C25" s="2"/>
      <c r="D25" s="2"/>
      <c r="E25" s="2"/>
      <c r="F25" s="2"/>
    </row>
    <row r="26" spans="1:6" ht="21.75" customHeight="1">
      <c r="A26" s="56" t="s">
        <v>84</v>
      </c>
      <c r="B26" s="50"/>
      <c r="C26" s="50"/>
      <c r="D26" s="50"/>
      <c r="E26" s="50"/>
      <c r="F26" s="48"/>
    </row>
    <row r="27" spans="1:6" ht="19.5" customHeight="1">
      <c r="A27" s="4" t="s">
        <v>85</v>
      </c>
      <c r="B27" s="5">
        <v>40000</v>
      </c>
      <c r="C27" s="16">
        <f t="shared" ref="C27:C29" si="3">IFERROR(B27/12,0)</f>
        <v>3333.3333333333335</v>
      </c>
      <c r="D27" s="4"/>
      <c r="E27" s="26" t="s">
        <v>86</v>
      </c>
      <c r="F27" s="3"/>
    </row>
    <row r="28" spans="1:6" ht="19.5" customHeight="1">
      <c r="A28" s="6" t="s">
        <v>87</v>
      </c>
      <c r="B28" s="7">
        <v>20000</v>
      </c>
      <c r="C28" s="21">
        <f t="shared" si="3"/>
        <v>1666.6666666666667</v>
      </c>
      <c r="D28" s="6"/>
      <c r="E28" s="27" t="s">
        <v>86</v>
      </c>
      <c r="F28" s="2"/>
    </row>
    <row r="29" spans="1:6" ht="19.5" customHeight="1">
      <c r="A29" s="4" t="s">
        <v>88</v>
      </c>
      <c r="B29" s="5"/>
      <c r="C29" s="16">
        <f t="shared" si="3"/>
        <v>0</v>
      </c>
      <c r="D29" s="4"/>
      <c r="E29" s="26" t="s">
        <v>86</v>
      </c>
      <c r="F29" s="3"/>
    </row>
    <row r="30" spans="1:6" ht="7.5" customHeight="1">
      <c r="A30" s="2"/>
      <c r="B30" s="2"/>
      <c r="C30" s="2"/>
      <c r="D30" s="2"/>
      <c r="E30" s="2"/>
      <c r="F30" s="2"/>
    </row>
    <row r="31" spans="1:6" ht="21.75" customHeight="1">
      <c r="A31" s="56" t="s">
        <v>89</v>
      </c>
      <c r="B31" s="50"/>
      <c r="C31" s="50"/>
      <c r="D31" s="50"/>
      <c r="E31" s="50"/>
      <c r="F31" s="48"/>
    </row>
    <row r="32" spans="1:6" ht="19.5" customHeight="1">
      <c r="A32" s="6" t="s">
        <v>90</v>
      </c>
      <c r="B32" s="7"/>
      <c r="C32" s="21">
        <f t="shared" ref="C32:C34" si="4">IFERROR(B32/12,0)</f>
        <v>0</v>
      </c>
      <c r="D32" s="6"/>
      <c r="E32" s="27" t="s">
        <v>91</v>
      </c>
      <c r="F32" s="2"/>
    </row>
    <row r="33" spans="1:6" ht="19.5" customHeight="1">
      <c r="A33" s="4" t="s">
        <v>92</v>
      </c>
      <c r="B33" s="5"/>
      <c r="C33" s="16">
        <f t="shared" si="4"/>
        <v>0</v>
      </c>
      <c r="D33" s="4"/>
      <c r="E33" s="26" t="s">
        <v>91</v>
      </c>
      <c r="F33" s="3"/>
    </row>
    <row r="34" spans="1:6" ht="19.5" customHeight="1">
      <c r="A34" s="6" t="s">
        <v>93</v>
      </c>
      <c r="B34" s="7"/>
      <c r="C34" s="21">
        <f t="shared" si="4"/>
        <v>0</v>
      </c>
      <c r="D34" s="6"/>
      <c r="E34" s="27" t="s">
        <v>91</v>
      </c>
      <c r="F34" s="2"/>
    </row>
    <row r="35" spans="1:6" ht="7.5" customHeight="1">
      <c r="A35" s="2"/>
      <c r="B35" s="2"/>
      <c r="C35" s="2"/>
      <c r="D35" s="2"/>
      <c r="E35" s="2"/>
      <c r="F35" s="2"/>
    </row>
    <row r="36" spans="1:6" ht="21.75" customHeight="1">
      <c r="A36" s="56" t="s">
        <v>94</v>
      </c>
      <c r="B36" s="50"/>
      <c r="C36" s="50"/>
      <c r="D36" s="50"/>
      <c r="E36" s="50"/>
      <c r="F36" s="48"/>
    </row>
    <row r="37" spans="1:6" ht="19.5" customHeight="1">
      <c r="A37" s="4" t="s">
        <v>95</v>
      </c>
      <c r="B37" s="5"/>
      <c r="C37" s="16">
        <f t="shared" ref="C37:C39" si="5">IFERROR(B37/12,0)</f>
        <v>0</v>
      </c>
      <c r="D37" s="4"/>
      <c r="E37" s="26" t="s">
        <v>96</v>
      </c>
      <c r="F37" s="3"/>
    </row>
    <row r="38" spans="1:6" ht="19.5" customHeight="1">
      <c r="A38" s="6" t="s">
        <v>95</v>
      </c>
      <c r="B38" s="7"/>
      <c r="C38" s="21">
        <f t="shared" si="5"/>
        <v>0</v>
      </c>
      <c r="D38" s="6"/>
      <c r="E38" s="27" t="s">
        <v>96</v>
      </c>
      <c r="F38" s="2"/>
    </row>
    <row r="39" spans="1:6" ht="19.5" customHeight="1">
      <c r="A39" s="4" t="s">
        <v>95</v>
      </c>
      <c r="B39" s="5"/>
      <c r="C39" s="16">
        <f t="shared" si="5"/>
        <v>0</v>
      </c>
      <c r="D39" s="4"/>
      <c r="E39" s="26" t="s">
        <v>96</v>
      </c>
      <c r="F39" s="3"/>
    </row>
    <row r="40" spans="1:6" ht="7.5" customHeight="1">
      <c r="A40" s="2"/>
      <c r="B40" s="2"/>
      <c r="C40" s="2"/>
      <c r="D40" s="2"/>
      <c r="E40" s="2"/>
      <c r="F40" s="2"/>
    </row>
    <row r="41" spans="1:6" ht="21.75" customHeight="1">
      <c r="A41" s="8" t="s">
        <v>97</v>
      </c>
      <c r="B41" s="9"/>
      <c r="C41" s="28">
        <f t="shared" ref="B41:C41" si="6">SUM(C11:C39)</f>
        <v>7083.3333333333339</v>
      </c>
      <c r="D41" s="64" t="s">
        <v>98</v>
      </c>
      <c r="E41" s="48"/>
      <c r="F41" s="10"/>
    </row>
    <row r="42" spans="1:6" ht="7.5" customHeight="1">
      <c r="A42" s="2"/>
      <c r="B42" s="2"/>
      <c r="C42" s="2"/>
      <c r="D42" s="2"/>
      <c r="E42" s="2"/>
      <c r="F42" s="2"/>
    </row>
    <row r="43" spans="1:6" ht="21.75" customHeight="1">
      <c r="A43" s="56" t="s">
        <v>99</v>
      </c>
      <c r="B43" s="50"/>
      <c r="C43" s="50"/>
      <c r="D43" s="50"/>
      <c r="E43" s="50"/>
      <c r="F43" s="48"/>
    </row>
    <row r="44" spans="1:6" ht="15.75" customHeight="1">
      <c r="A44" s="61" t="s">
        <v>100</v>
      </c>
      <c r="B44" s="50"/>
      <c r="C44" s="50"/>
      <c r="D44" s="50"/>
      <c r="E44" s="50"/>
      <c r="F44" s="48"/>
    </row>
    <row r="45" spans="1:6" ht="21.75" customHeight="1">
      <c r="A45" s="4" t="s">
        <v>101</v>
      </c>
      <c r="B45" s="16">
        <f>C41</f>
        <v>7083.3333333333339</v>
      </c>
      <c r="C45" s="63" t="s">
        <v>102</v>
      </c>
      <c r="D45" s="50"/>
      <c r="E45" s="50"/>
      <c r="F45" s="48"/>
    </row>
    <row r="46" spans="1:6" ht="27.75" customHeight="1">
      <c r="A46" s="6" t="s">
        <v>103</v>
      </c>
      <c r="B46" s="29" t="str">
        <f>IF(C41&gt;0,"YES — SURPRISES ENGINEERED OUT","Add your irregular expenses above")</f>
        <v>YES — SURPRISES ENGINEERED OUT</v>
      </c>
      <c r="C46" s="62"/>
      <c r="D46" s="50"/>
      <c r="E46" s="50"/>
      <c r="F46" s="48"/>
    </row>
    <row r="47" spans="1:6" ht="21.75" customHeight="1">
      <c r="A47" s="4" t="s">
        <v>104</v>
      </c>
      <c r="B47" s="30">
        <f>IF(B41&gt;0,12,0)</f>
        <v>0</v>
      </c>
      <c r="C47" s="63" t="s">
        <v>105</v>
      </c>
      <c r="D47" s="50"/>
      <c r="E47" s="50"/>
      <c r="F47" s="48"/>
    </row>
    <row r="48" spans="1:6" ht="7.5" customHeight="1">
      <c r="A48" s="2"/>
      <c r="B48" s="2"/>
      <c r="C48" s="2"/>
      <c r="D48" s="2"/>
      <c r="E48" s="2"/>
      <c r="F48" s="2"/>
    </row>
    <row r="49" spans="1:6" ht="19.5" customHeight="1">
      <c r="A49" s="51" t="s">
        <v>24</v>
      </c>
      <c r="B49" s="50"/>
      <c r="C49" s="50"/>
      <c r="D49" s="50"/>
      <c r="E49" s="50"/>
      <c r="F49" s="48"/>
    </row>
    <row r="50" spans="1:6" ht="15.75" customHeight="1"/>
    <row r="51" spans="1:6" ht="15.75" customHeight="1"/>
    <row r="52" spans="1:6" ht="15.75" customHeight="1"/>
    <row r="53" spans="1:6" ht="15.75" customHeight="1"/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F2"/>
    <mergeCell ref="A3:F3"/>
    <mergeCell ref="A6:F6"/>
    <mergeCell ref="A10:F10"/>
    <mergeCell ref="A15:F15"/>
    <mergeCell ref="A21:F21"/>
    <mergeCell ref="A26:F26"/>
    <mergeCell ref="C47:F47"/>
    <mergeCell ref="A49:F49"/>
    <mergeCell ref="A31:F31"/>
    <mergeCell ref="A36:F36"/>
    <mergeCell ref="D41:E41"/>
    <mergeCell ref="A43:F43"/>
    <mergeCell ref="A44:F44"/>
    <mergeCell ref="C45:F45"/>
    <mergeCell ref="C46:F46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tabSelected="1" workbookViewId="0">
      <pane ySplit="8" topLeftCell="A17" activePane="bottomLeft" state="frozen"/>
      <selection pane="bottomLeft" activeCell="B24" sqref="B24:B28"/>
    </sheetView>
  </sheetViews>
  <sheetFormatPr defaultColWidth="14.42578125" defaultRowHeight="15" customHeight="1"/>
  <cols>
    <col min="1" max="1" width="36" customWidth="1"/>
    <col min="2" max="2" width="18" customWidth="1"/>
    <col min="3" max="4" width="22" customWidth="1"/>
    <col min="5" max="6" width="8" customWidth="1"/>
  </cols>
  <sheetData>
    <row r="1" spans="1:6" ht="7.5" customHeight="1">
      <c r="A1" s="31"/>
      <c r="B1" s="31"/>
      <c r="C1" s="31"/>
      <c r="D1" s="31"/>
      <c r="E1" s="31"/>
      <c r="F1" s="31"/>
    </row>
    <row r="2" spans="1:6" ht="31.5" customHeight="1">
      <c r="A2" s="58" t="s">
        <v>0</v>
      </c>
      <c r="B2" s="50"/>
      <c r="C2" s="50"/>
      <c r="D2" s="50"/>
      <c r="E2" s="50"/>
      <c r="F2" s="48"/>
    </row>
    <row r="3" spans="1:6" ht="19.5" customHeight="1">
      <c r="A3" s="59" t="s">
        <v>106</v>
      </c>
      <c r="B3" s="50"/>
      <c r="C3" s="50"/>
      <c r="D3" s="50"/>
      <c r="E3" s="50"/>
      <c r="F3" s="48"/>
    </row>
    <row r="4" spans="1:6" ht="7.5" customHeight="1">
      <c r="A4" s="31"/>
      <c r="B4" s="31"/>
      <c r="C4" s="31"/>
      <c r="D4" s="31"/>
      <c r="E4" s="31"/>
      <c r="F4" s="31"/>
    </row>
    <row r="5" spans="1:6" ht="7.5" customHeight="1">
      <c r="A5" s="6"/>
      <c r="B5" s="6"/>
      <c r="C5" s="6"/>
      <c r="D5" s="6"/>
      <c r="E5" s="6"/>
      <c r="F5" s="6"/>
    </row>
    <row r="6" spans="1:6" ht="15.75" customHeight="1">
      <c r="A6" s="60" t="s">
        <v>107</v>
      </c>
      <c r="B6" s="50"/>
      <c r="C6" s="50"/>
      <c r="D6" s="50"/>
      <c r="E6" s="50"/>
      <c r="F6" s="48"/>
    </row>
    <row r="7" spans="1:6" ht="7.5" customHeight="1">
      <c r="A7" s="6"/>
      <c r="B7" s="6"/>
      <c r="C7" s="6"/>
      <c r="D7" s="6"/>
      <c r="E7" s="6"/>
      <c r="F7" s="6"/>
    </row>
    <row r="8" spans="1:6" ht="19.5" customHeight="1">
      <c r="A8" s="11" t="s">
        <v>108</v>
      </c>
      <c r="B8" s="12" t="s">
        <v>109</v>
      </c>
      <c r="C8" s="12" t="s">
        <v>110</v>
      </c>
      <c r="D8" s="12" t="s">
        <v>111</v>
      </c>
      <c r="E8" s="12"/>
      <c r="F8" s="12"/>
    </row>
    <row r="9" spans="1:6" ht="7.5" customHeight="1">
      <c r="A9" s="6"/>
      <c r="B9" s="6"/>
      <c r="C9" s="6"/>
      <c r="D9" s="6"/>
      <c r="E9" s="6"/>
      <c r="F9" s="6"/>
    </row>
    <row r="10" spans="1:6" ht="21.75" customHeight="1">
      <c r="A10" s="56" t="s">
        <v>112</v>
      </c>
      <c r="B10" s="50"/>
      <c r="C10" s="50"/>
      <c r="D10" s="50"/>
      <c r="E10" s="50"/>
      <c r="F10" s="48"/>
    </row>
    <row r="11" spans="1:6" ht="15.75" customHeight="1">
      <c r="A11" s="61" t="s">
        <v>113</v>
      </c>
      <c r="B11" s="50"/>
      <c r="C11" s="50"/>
      <c r="D11" s="50"/>
      <c r="E11" s="50"/>
      <c r="F11" s="48"/>
    </row>
    <row r="12" spans="1:6" ht="21.75" customHeight="1">
      <c r="A12" s="4" t="s">
        <v>114</v>
      </c>
      <c r="B12" s="32"/>
      <c r="C12" s="33" t="str">
        <f>IF(B12="","Enter value",IF(B12&lt;1000,"[ STATUS: CRITICAL ]",IF(B12&lt;5000,"[ STATUS: THIN ]","[ STATUS: ADEQUATE ]")))</f>
        <v>Enter value</v>
      </c>
      <c r="D12" s="26" t="s">
        <v>115</v>
      </c>
      <c r="E12" s="4"/>
      <c r="F12" s="4"/>
    </row>
    <row r="13" spans="1:6" ht="7.5" customHeight="1">
      <c r="A13" s="6"/>
      <c r="B13" s="6"/>
      <c r="C13" s="6"/>
      <c r="D13" s="6"/>
      <c r="E13" s="6"/>
      <c r="F13" s="6"/>
    </row>
    <row r="14" spans="1:6" ht="21.75" customHeight="1">
      <c r="A14" s="56" t="s">
        <v>116</v>
      </c>
      <c r="B14" s="50"/>
      <c r="C14" s="50"/>
      <c r="D14" s="50"/>
      <c r="E14" s="50"/>
      <c r="F14" s="48"/>
    </row>
    <row r="15" spans="1:6" ht="15.75" customHeight="1">
      <c r="A15" s="61" t="s">
        <v>117</v>
      </c>
      <c r="B15" s="50"/>
      <c r="C15" s="50"/>
      <c r="D15" s="50"/>
      <c r="E15" s="50"/>
      <c r="F15" s="48"/>
    </row>
    <row r="16" spans="1:6" ht="19.5" customHeight="1">
      <c r="A16" s="6" t="s">
        <v>118</v>
      </c>
      <c r="B16" s="34"/>
      <c r="C16" s="6"/>
      <c r="D16" s="27"/>
      <c r="E16" s="6"/>
      <c r="F16" s="6"/>
    </row>
    <row r="17" spans="1:6" ht="19.5" customHeight="1">
      <c r="A17" s="4" t="s">
        <v>119</v>
      </c>
      <c r="B17" s="32"/>
      <c r="C17" s="4"/>
      <c r="D17" s="26"/>
      <c r="E17" s="4"/>
      <c r="F17" s="4"/>
    </row>
    <row r="18" spans="1:6" ht="19.5" customHeight="1">
      <c r="A18" s="6" t="s">
        <v>120</v>
      </c>
      <c r="B18" s="34"/>
      <c r="C18" s="6"/>
      <c r="D18" s="27" t="s">
        <v>121</v>
      </c>
      <c r="E18" s="6"/>
      <c r="F18" s="6"/>
    </row>
    <row r="19" spans="1:6" ht="19.5" customHeight="1">
      <c r="A19" s="4" t="s">
        <v>122</v>
      </c>
      <c r="B19" s="32"/>
      <c r="C19" s="4"/>
      <c r="D19" s="26"/>
      <c r="E19" s="4"/>
      <c r="F19" s="4"/>
    </row>
    <row r="20" spans="1:6" ht="21.75" customHeight="1">
      <c r="A20" s="8" t="s">
        <v>123</v>
      </c>
      <c r="B20" s="9">
        <f>SUM(B16:B19)</f>
        <v>0</v>
      </c>
      <c r="C20" s="12" t="str">
        <f>IF(B20=0,"Enter values",IF(B20&gt;0,"[ STATUS: COMPOUNDING ]","[ STATUS: REVIEW ]"))</f>
        <v>Enter values</v>
      </c>
      <c r="D20" s="35"/>
      <c r="E20" s="35"/>
      <c r="F20" s="35"/>
    </row>
    <row r="21" spans="1:6" ht="7.5" customHeight="1">
      <c r="A21" s="6"/>
      <c r="B21" s="6"/>
      <c r="C21" s="6"/>
      <c r="D21" s="6"/>
      <c r="E21" s="6"/>
      <c r="F21" s="6"/>
    </row>
    <row r="22" spans="1:6" ht="21.75" customHeight="1">
      <c r="A22" s="56" t="s">
        <v>124</v>
      </c>
      <c r="B22" s="50"/>
      <c r="C22" s="50"/>
      <c r="D22" s="50"/>
      <c r="E22" s="50"/>
      <c r="F22" s="48"/>
    </row>
    <row r="23" spans="1:6" ht="15.75" customHeight="1">
      <c r="A23" s="61" t="s">
        <v>125</v>
      </c>
      <c r="B23" s="50"/>
      <c r="C23" s="50"/>
      <c r="D23" s="50"/>
      <c r="E23" s="50"/>
      <c r="F23" s="48"/>
    </row>
    <row r="24" spans="1:6" ht="19.5" customHeight="1">
      <c r="A24" s="6" t="s">
        <v>126</v>
      </c>
      <c r="B24" s="34"/>
      <c r="C24" s="6"/>
      <c r="D24" s="27" t="s">
        <v>127</v>
      </c>
      <c r="E24" s="6"/>
      <c r="F24" s="6"/>
    </row>
    <row r="25" spans="1:6" ht="19.5" customHeight="1">
      <c r="A25" s="4" t="s">
        <v>128</v>
      </c>
      <c r="B25" s="5"/>
      <c r="C25" s="4"/>
      <c r="D25" s="26"/>
      <c r="E25" s="4"/>
      <c r="F25" s="4"/>
    </row>
    <row r="26" spans="1:6" ht="19.5" customHeight="1">
      <c r="A26" s="6" t="s">
        <v>129</v>
      </c>
      <c r="B26" s="34"/>
      <c r="C26" s="6"/>
      <c r="D26" s="27"/>
      <c r="E26" s="6"/>
      <c r="F26" s="6"/>
    </row>
    <row r="27" spans="1:6" ht="19.5" customHeight="1">
      <c r="A27" s="4" t="s">
        <v>130</v>
      </c>
      <c r="B27" s="32"/>
      <c r="C27" s="4"/>
      <c r="D27" s="26"/>
      <c r="E27" s="4"/>
      <c r="F27" s="4"/>
    </row>
    <row r="28" spans="1:6" ht="19.5" customHeight="1">
      <c r="A28" s="6" t="s">
        <v>131</v>
      </c>
      <c r="B28" s="34"/>
      <c r="C28" s="6"/>
      <c r="D28" s="27"/>
      <c r="E28" s="6"/>
      <c r="F28" s="6"/>
    </row>
    <row r="29" spans="1:6" ht="21.75" customHeight="1">
      <c r="A29" s="8" t="s">
        <v>132</v>
      </c>
      <c r="B29" s="9">
        <f>SUM(B24:B28)</f>
        <v>0</v>
      </c>
      <c r="C29" s="12" t="str">
        <f>IF(B29=0,"Enter values",IF(B29/IF(B20=0,1,B20)&lt;0.5,"[ STATUS: CONTROLLED ]","[ STATUS: HEAVY ]"))</f>
        <v>Enter values</v>
      </c>
      <c r="D29" s="35"/>
      <c r="E29" s="35"/>
      <c r="F29" s="35"/>
    </row>
    <row r="30" spans="1:6" ht="7.5" customHeight="1">
      <c r="A30" s="6"/>
      <c r="B30" s="6"/>
      <c r="C30" s="6"/>
      <c r="D30" s="6"/>
      <c r="E30" s="6"/>
      <c r="F30" s="6"/>
    </row>
    <row r="31" spans="1:6" ht="21.75" customHeight="1">
      <c r="A31" s="56" t="s">
        <v>133</v>
      </c>
      <c r="B31" s="50"/>
      <c r="C31" s="50"/>
      <c r="D31" s="50"/>
      <c r="E31" s="50"/>
      <c r="F31" s="48"/>
    </row>
    <row r="32" spans="1:6" ht="15.75" customHeight="1">
      <c r="A32" s="61" t="s">
        <v>134</v>
      </c>
      <c r="B32" s="50"/>
      <c r="C32" s="50"/>
      <c r="D32" s="50"/>
      <c r="E32" s="50"/>
      <c r="F32" s="48"/>
    </row>
    <row r="33" spans="1:6" ht="19.5" customHeight="1">
      <c r="A33" s="25" t="s">
        <v>135</v>
      </c>
      <c r="B33" s="5">
        <f>B18</f>
        <v>0</v>
      </c>
      <c r="C33" s="4"/>
      <c r="D33" s="26" t="s">
        <v>136</v>
      </c>
      <c r="E33" s="4"/>
      <c r="F33" s="4"/>
    </row>
    <row r="34" spans="1:6" ht="19.5" customHeight="1">
      <c r="A34" s="36" t="s">
        <v>137</v>
      </c>
      <c r="B34" s="7">
        <f>B24</f>
        <v>0</v>
      </c>
      <c r="C34" s="6"/>
      <c r="D34" s="27" t="s">
        <v>138</v>
      </c>
      <c r="E34" s="6"/>
      <c r="F34" s="6"/>
    </row>
    <row r="35" spans="1:6" ht="24" customHeight="1">
      <c r="A35" s="8" t="s">
        <v>139</v>
      </c>
      <c r="B35" s="37">
        <f>B18-B24</f>
        <v>0</v>
      </c>
      <c r="C35" s="35"/>
      <c r="D35" s="38" t="s">
        <v>140</v>
      </c>
      <c r="E35" s="35"/>
      <c r="F35" s="35"/>
    </row>
    <row r="36" spans="1:6" ht="7.5" customHeight="1">
      <c r="A36" s="6"/>
      <c r="B36" s="6"/>
      <c r="C36" s="6"/>
      <c r="D36" s="6"/>
      <c r="E36" s="6"/>
      <c r="F36" s="6"/>
    </row>
    <row r="37" spans="1:6" ht="36" customHeight="1">
      <c r="A37" s="39" t="s">
        <v>141</v>
      </c>
      <c r="B37" s="40">
        <f>B12+B20-B29</f>
        <v>0</v>
      </c>
      <c r="C37" s="41" t="str">
        <f>IF(OR(B12=0,B20=0),"Enter values above",IF(B12+B20-B29&gt;0,"[ SYSTEM STABLE ]","[ ACTION REQUIRED ]"))</f>
        <v>Enter values above</v>
      </c>
      <c r="D37" s="65" t="s">
        <v>142</v>
      </c>
      <c r="E37" s="50"/>
      <c r="F37" s="48"/>
    </row>
    <row r="38" spans="1:6" ht="7.5" customHeight="1">
      <c r="A38" s="6"/>
      <c r="B38" s="6"/>
      <c r="C38" s="6"/>
      <c r="D38" s="6"/>
      <c r="E38" s="6"/>
      <c r="F38" s="6"/>
    </row>
    <row r="39" spans="1:6" ht="21.75" customHeight="1">
      <c r="A39" s="56" t="s">
        <v>143</v>
      </c>
      <c r="B39" s="50"/>
      <c r="C39" s="50"/>
      <c r="D39" s="50"/>
      <c r="E39" s="50"/>
      <c r="F39" s="48"/>
    </row>
    <row r="40" spans="1:6" ht="15.75" customHeight="1">
      <c r="A40" s="61" t="s">
        <v>144</v>
      </c>
      <c r="B40" s="50"/>
      <c r="C40" s="50"/>
      <c r="D40" s="50"/>
      <c r="E40" s="50"/>
      <c r="F40" s="48"/>
    </row>
    <row r="41" spans="1:6" ht="21.75" customHeight="1">
      <c r="A41" s="4" t="s">
        <v>145</v>
      </c>
      <c r="B41" s="42">
        <f>IFERROR(B12/(B12+(B20-B18)+(B18-B24)),0)</f>
        <v>0</v>
      </c>
      <c r="C41" s="26" t="s">
        <v>115</v>
      </c>
      <c r="D41" s="3"/>
      <c r="E41" s="3"/>
      <c r="F41" s="3"/>
    </row>
    <row r="42" spans="1:6" ht="21.75" customHeight="1">
      <c r="A42" s="6" t="s">
        <v>146</v>
      </c>
      <c r="B42" s="43">
        <f>IFERROR((B20-B18)/(B12+(B20-B18)+(B18-B24)),0)</f>
        <v>0</v>
      </c>
      <c r="C42" s="27" t="s">
        <v>147</v>
      </c>
      <c r="D42" s="2"/>
      <c r="E42" s="2"/>
      <c r="F42" s="2"/>
    </row>
    <row r="43" spans="1:6" ht="21.75" customHeight="1">
      <c r="A43" s="4" t="s">
        <v>148</v>
      </c>
      <c r="B43" s="42">
        <f>IFERROR((B18-B24)/(B12+(B20-B18)+(B18-B24)),0)</f>
        <v>0</v>
      </c>
      <c r="C43" s="26" t="s">
        <v>149</v>
      </c>
      <c r="D43" s="3"/>
      <c r="E43" s="3"/>
      <c r="F43" s="3"/>
    </row>
    <row r="44" spans="1:6" ht="21.75" customHeight="1">
      <c r="A44" s="6" t="s">
        <v>150</v>
      </c>
      <c r="B44" s="43">
        <f>IFERROR(B24/B18,0)</f>
        <v>0</v>
      </c>
      <c r="C44" s="27" t="s">
        <v>151</v>
      </c>
      <c r="D44" s="2"/>
      <c r="E44" s="2"/>
      <c r="F44" s="2"/>
    </row>
    <row r="45" spans="1:6" ht="21.75" customHeight="1">
      <c r="A45" s="4" t="s">
        <v>152</v>
      </c>
      <c r="B45" s="42">
        <f>IFERROR((B29-B24)/(B12+(B20-B18)+(B18-B24)),0)</f>
        <v>0</v>
      </c>
      <c r="C45" s="26" t="s">
        <v>153</v>
      </c>
      <c r="D45" s="3"/>
      <c r="E45" s="3"/>
      <c r="F45" s="3"/>
    </row>
    <row r="46" spans="1:6" ht="7.5" customHeight="1">
      <c r="A46" s="2"/>
      <c r="B46" s="2"/>
      <c r="C46" s="2"/>
      <c r="D46" s="2"/>
      <c r="E46" s="2"/>
      <c r="F46" s="2"/>
    </row>
    <row r="47" spans="1:6" ht="19.5" customHeight="1">
      <c r="A47" s="51" t="s">
        <v>24</v>
      </c>
      <c r="B47" s="50"/>
      <c r="C47" s="50"/>
      <c r="D47" s="50"/>
      <c r="E47" s="50"/>
      <c r="F47" s="48"/>
    </row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9:F39"/>
    <mergeCell ref="A40:F40"/>
    <mergeCell ref="A47:F47"/>
    <mergeCell ref="A2:F2"/>
    <mergeCell ref="A3:F3"/>
    <mergeCell ref="A6:F6"/>
    <mergeCell ref="A10:F10"/>
    <mergeCell ref="A11:F11"/>
    <mergeCell ref="A14:F14"/>
    <mergeCell ref="A15:F15"/>
    <mergeCell ref="A22:F22"/>
    <mergeCell ref="A23:F23"/>
    <mergeCell ref="A31:F31"/>
    <mergeCell ref="A32:F32"/>
    <mergeCell ref="D37:F37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workbookViewId="0">
      <pane ySplit="8" topLeftCell="A15" activePane="bottomLeft" state="frozen"/>
      <selection pane="bottomLeft" activeCell="B10" sqref="B10"/>
    </sheetView>
  </sheetViews>
  <sheetFormatPr defaultColWidth="14.42578125" defaultRowHeight="15" customHeight="1"/>
  <cols>
    <col min="1" max="1" width="38" customWidth="1"/>
    <col min="2" max="2" width="20" customWidth="1"/>
    <col min="3" max="3" width="26" customWidth="1"/>
    <col min="4" max="6" width="8" customWidth="1"/>
  </cols>
  <sheetData>
    <row r="1" spans="1:6" ht="7.5" customHeight="1">
      <c r="A1" s="1"/>
      <c r="B1" s="1"/>
      <c r="C1" s="1"/>
      <c r="D1" s="1"/>
      <c r="E1" s="1"/>
      <c r="F1" s="1"/>
    </row>
    <row r="2" spans="1:6" ht="31.5" customHeight="1">
      <c r="A2" s="58" t="s">
        <v>0</v>
      </c>
      <c r="B2" s="50"/>
      <c r="C2" s="50"/>
      <c r="D2" s="50"/>
      <c r="E2" s="50"/>
      <c r="F2" s="48"/>
    </row>
    <row r="3" spans="1:6" ht="19.5" customHeight="1">
      <c r="A3" s="59" t="s">
        <v>154</v>
      </c>
      <c r="B3" s="50"/>
      <c r="C3" s="50"/>
      <c r="D3" s="50"/>
      <c r="E3" s="50"/>
      <c r="F3" s="48"/>
    </row>
    <row r="4" spans="1:6" ht="7.5" customHeight="1">
      <c r="A4" s="1"/>
      <c r="B4" s="1"/>
      <c r="C4" s="1"/>
      <c r="D4" s="1"/>
      <c r="E4" s="1"/>
      <c r="F4" s="1"/>
    </row>
    <row r="5" spans="1:6" ht="7.5" customHeight="1">
      <c r="A5" s="2"/>
      <c r="B5" s="2"/>
      <c r="C5" s="2"/>
      <c r="D5" s="2"/>
      <c r="E5" s="2"/>
      <c r="F5" s="2"/>
    </row>
    <row r="6" spans="1:6" ht="15.75" customHeight="1">
      <c r="A6" s="60" t="s">
        <v>155</v>
      </c>
      <c r="B6" s="50"/>
      <c r="C6" s="50"/>
      <c r="D6" s="50"/>
      <c r="E6" s="50"/>
      <c r="F6" s="48"/>
    </row>
    <row r="7" spans="1:6" ht="7.5" customHeight="1">
      <c r="A7" s="2"/>
      <c r="B7" s="2"/>
      <c r="C7" s="2"/>
      <c r="D7" s="2"/>
      <c r="E7" s="2"/>
      <c r="F7" s="2"/>
    </row>
    <row r="8" spans="1:6" ht="7.5" customHeight="1">
      <c r="A8" s="2"/>
      <c r="B8" s="2"/>
      <c r="C8" s="2"/>
      <c r="D8" s="2"/>
      <c r="E8" s="2"/>
      <c r="F8" s="2"/>
    </row>
    <row r="9" spans="1:6" ht="21.75" customHeight="1">
      <c r="A9" s="56" t="s">
        <v>156</v>
      </c>
      <c r="B9" s="50"/>
      <c r="C9" s="50"/>
      <c r="D9" s="50"/>
      <c r="E9" s="50"/>
      <c r="F9" s="48"/>
    </row>
    <row r="10" spans="1:6" ht="21.75" customHeight="1">
      <c r="A10" s="6" t="s">
        <v>157</v>
      </c>
      <c r="B10" s="2"/>
      <c r="C10" s="62" t="s">
        <v>158</v>
      </c>
      <c r="D10" s="50"/>
      <c r="E10" s="50"/>
      <c r="F10" s="48"/>
    </row>
    <row r="11" spans="1:6" ht="21.75" customHeight="1">
      <c r="A11" s="4" t="s">
        <v>159</v>
      </c>
      <c r="B11" s="3"/>
      <c r="C11" s="63" t="s">
        <v>160</v>
      </c>
      <c r="D11" s="50"/>
      <c r="E11" s="50"/>
      <c r="F11" s="48"/>
    </row>
    <row r="12" spans="1:6" ht="21.75" customHeight="1">
      <c r="A12" s="6" t="s">
        <v>161</v>
      </c>
      <c r="B12" s="2"/>
      <c r="C12" s="62" t="s">
        <v>162</v>
      </c>
      <c r="D12" s="50"/>
      <c r="E12" s="50"/>
      <c r="F12" s="48"/>
    </row>
    <row r="13" spans="1:6" ht="7.5" customHeight="1">
      <c r="A13" s="2"/>
      <c r="B13" s="2"/>
      <c r="C13" s="2"/>
      <c r="D13" s="2"/>
      <c r="E13" s="2"/>
      <c r="F13" s="2"/>
    </row>
    <row r="14" spans="1:6" ht="21.75" customHeight="1">
      <c r="A14" s="56" t="s">
        <v>163</v>
      </c>
      <c r="B14" s="50"/>
      <c r="C14" s="50"/>
      <c r="D14" s="50"/>
      <c r="E14" s="50"/>
      <c r="F14" s="48"/>
    </row>
    <row r="15" spans="1:6" ht="36" customHeight="1">
      <c r="A15" s="39" t="s">
        <v>164</v>
      </c>
      <c r="B15" s="44" t="str">
        <f>'Net Position Snapshot'!C37</f>
        <v>Enter values above</v>
      </c>
      <c r="C15" s="65" t="s">
        <v>165</v>
      </c>
      <c r="D15" s="50"/>
      <c r="E15" s="50"/>
      <c r="F15" s="48"/>
    </row>
    <row r="16" spans="1:6" ht="7.5" customHeight="1">
      <c r="A16" s="2"/>
      <c r="B16" s="2"/>
      <c r="C16" s="2"/>
      <c r="D16" s="2"/>
      <c r="E16" s="2"/>
      <c r="F16" s="2"/>
    </row>
    <row r="17" spans="1:6" ht="21.75" customHeight="1">
      <c r="A17" s="56" t="s">
        <v>166</v>
      </c>
      <c r="B17" s="50"/>
      <c r="C17" s="50"/>
      <c r="D17" s="50"/>
      <c r="E17" s="50"/>
      <c r="F17" s="48"/>
    </row>
    <row r="18" spans="1:6" ht="15.75" customHeight="1">
      <c r="A18" s="61" t="s">
        <v>167</v>
      </c>
      <c r="B18" s="50"/>
      <c r="C18" s="50"/>
      <c r="D18" s="50"/>
      <c r="E18" s="50"/>
      <c r="F18" s="48"/>
    </row>
    <row r="19" spans="1:6" ht="21.75" customHeight="1">
      <c r="A19" s="67" t="s">
        <v>168</v>
      </c>
      <c r="B19" s="48"/>
      <c r="C19" s="63" t="s">
        <v>169</v>
      </c>
      <c r="D19" s="50"/>
      <c r="E19" s="48"/>
      <c r="F19" s="45" t="s">
        <v>170</v>
      </c>
    </row>
    <row r="20" spans="1:6" ht="21.75" customHeight="1">
      <c r="A20" s="68" t="s">
        <v>171</v>
      </c>
      <c r="B20" s="48"/>
      <c r="C20" s="62" t="s">
        <v>172</v>
      </c>
      <c r="D20" s="50"/>
      <c r="E20" s="48"/>
      <c r="F20" s="46" t="s">
        <v>42</v>
      </c>
    </row>
    <row r="21" spans="1:6" ht="21.75" customHeight="1">
      <c r="A21" s="67" t="s">
        <v>173</v>
      </c>
      <c r="B21" s="48"/>
      <c r="C21" s="63" t="s">
        <v>174</v>
      </c>
      <c r="D21" s="50"/>
      <c r="E21" s="48"/>
      <c r="F21" s="45" t="s">
        <v>44</v>
      </c>
    </row>
    <row r="22" spans="1:6" ht="21.75" customHeight="1">
      <c r="A22" s="68" t="s">
        <v>175</v>
      </c>
      <c r="B22" s="48"/>
      <c r="C22" s="62" t="s">
        <v>176</v>
      </c>
      <c r="D22" s="50"/>
      <c r="E22" s="48"/>
      <c r="F22" s="46" t="s">
        <v>177</v>
      </c>
    </row>
    <row r="23" spans="1:6" ht="21.75" customHeight="1">
      <c r="A23" s="67" t="s">
        <v>178</v>
      </c>
      <c r="B23" s="48"/>
      <c r="C23" s="63" t="s">
        <v>179</v>
      </c>
      <c r="D23" s="50"/>
      <c r="E23" s="48"/>
      <c r="F23" s="45" t="s">
        <v>180</v>
      </c>
    </row>
    <row r="24" spans="1:6" ht="21.75" customHeight="1">
      <c r="A24" s="68" t="s">
        <v>181</v>
      </c>
      <c r="B24" s="48"/>
      <c r="C24" s="62" t="s">
        <v>182</v>
      </c>
      <c r="D24" s="50"/>
      <c r="E24" s="48"/>
      <c r="F24" s="46" t="s">
        <v>183</v>
      </c>
    </row>
    <row r="25" spans="1:6" ht="21.75" customHeight="1">
      <c r="A25" s="67" t="s">
        <v>184</v>
      </c>
      <c r="B25" s="48"/>
      <c r="C25" s="63" t="s">
        <v>185</v>
      </c>
      <c r="D25" s="50"/>
      <c r="E25" s="48"/>
      <c r="F25" s="45" t="s">
        <v>186</v>
      </c>
    </row>
    <row r="26" spans="1:6" ht="21.75" customHeight="1">
      <c r="A26" s="68" t="s">
        <v>187</v>
      </c>
      <c r="B26" s="48"/>
      <c r="C26" s="62" t="s">
        <v>188</v>
      </c>
      <c r="D26" s="50"/>
      <c r="E26" s="48"/>
      <c r="F26" s="46" t="s">
        <v>189</v>
      </c>
    </row>
    <row r="27" spans="1:6" ht="7.5" customHeight="1">
      <c r="A27" s="2"/>
      <c r="B27" s="2"/>
      <c r="C27" s="2"/>
      <c r="D27" s="2"/>
      <c r="E27" s="2"/>
      <c r="F27" s="2"/>
    </row>
    <row r="28" spans="1:6" ht="21.75" customHeight="1">
      <c r="A28" s="56" t="s">
        <v>190</v>
      </c>
      <c r="B28" s="50"/>
      <c r="C28" s="50"/>
      <c r="D28" s="50"/>
      <c r="E28" s="50"/>
      <c r="F28" s="48"/>
    </row>
    <row r="29" spans="1:6" ht="21.75" customHeight="1">
      <c r="A29" s="4" t="s">
        <v>191</v>
      </c>
      <c r="B29" s="3"/>
      <c r="C29" s="63" t="s">
        <v>192</v>
      </c>
      <c r="D29" s="50"/>
      <c r="E29" s="50"/>
      <c r="F29" s="48"/>
    </row>
    <row r="30" spans="1:6" ht="21.75" customHeight="1">
      <c r="A30" s="6" t="s">
        <v>193</v>
      </c>
      <c r="B30" s="2"/>
      <c r="C30" s="62" t="s">
        <v>194</v>
      </c>
      <c r="D30" s="50"/>
      <c r="E30" s="50"/>
      <c r="F30" s="48"/>
    </row>
    <row r="31" spans="1:6" ht="21.75" customHeight="1">
      <c r="A31" s="4" t="s">
        <v>66</v>
      </c>
      <c r="B31" s="3"/>
      <c r="C31" s="63"/>
      <c r="D31" s="50"/>
      <c r="E31" s="50"/>
      <c r="F31" s="48"/>
    </row>
    <row r="32" spans="1:6" ht="7.5" customHeight="1">
      <c r="A32" s="2"/>
      <c r="B32" s="2"/>
      <c r="C32" s="2"/>
      <c r="D32" s="2"/>
      <c r="E32" s="2"/>
      <c r="F32" s="2"/>
    </row>
    <row r="33" spans="1:6" ht="19.5" customHeight="1">
      <c r="A33" s="66" t="s">
        <v>195</v>
      </c>
      <c r="B33" s="50"/>
      <c r="C33" s="50"/>
      <c r="D33" s="50"/>
      <c r="E33" s="50"/>
      <c r="F33" s="48"/>
    </row>
    <row r="34" spans="1:6" ht="7.5" customHeight="1">
      <c r="A34" s="2"/>
      <c r="B34" s="2"/>
      <c r="C34" s="2"/>
      <c r="D34" s="2"/>
      <c r="E34" s="2"/>
      <c r="F34" s="2"/>
    </row>
    <row r="35" spans="1:6" ht="19.5" customHeight="1">
      <c r="A35" s="51" t="s">
        <v>24</v>
      </c>
      <c r="B35" s="50"/>
      <c r="C35" s="50"/>
      <c r="D35" s="50"/>
      <c r="E35" s="50"/>
      <c r="F35" s="48"/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:F2"/>
    <mergeCell ref="A3:F3"/>
    <mergeCell ref="A6:F6"/>
    <mergeCell ref="A9:F9"/>
    <mergeCell ref="C10:F10"/>
    <mergeCell ref="C11:F11"/>
    <mergeCell ref="C12:F12"/>
    <mergeCell ref="A20:B20"/>
    <mergeCell ref="A21:B21"/>
    <mergeCell ref="A22:B22"/>
    <mergeCell ref="C20:E20"/>
    <mergeCell ref="C21:E21"/>
    <mergeCell ref="C22:E22"/>
    <mergeCell ref="C23:E23"/>
    <mergeCell ref="C24:E24"/>
    <mergeCell ref="A14:F14"/>
    <mergeCell ref="C15:F15"/>
    <mergeCell ref="A17:F17"/>
    <mergeCell ref="A18:F18"/>
    <mergeCell ref="A19:B19"/>
    <mergeCell ref="C19:E19"/>
    <mergeCell ref="A33:F33"/>
    <mergeCell ref="A35:F35"/>
    <mergeCell ref="A23:B23"/>
    <mergeCell ref="A24:B24"/>
    <mergeCell ref="A25:B25"/>
    <mergeCell ref="A26:B26"/>
    <mergeCell ref="C25:E25"/>
    <mergeCell ref="C26:E26"/>
    <mergeCell ref="A28:F28"/>
    <mergeCell ref="C29:F29"/>
    <mergeCell ref="C30:F30"/>
    <mergeCell ref="C31:F3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Command Center</vt:lpstr>
      <vt:lpstr>Irregular Expense System</vt:lpstr>
      <vt:lpstr>Net Position Snapshot</vt:lpstr>
      <vt:lpstr>Monthly Activation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Tauhid Hasan</cp:lastModifiedBy>
  <dcterms:modified xsi:type="dcterms:W3CDTF">2026-05-13T05:11:49Z</dcterms:modified>
</cp:coreProperties>
</file>